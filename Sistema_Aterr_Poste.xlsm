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ff7bce46db48fb63/Documentos/Desenvolvimentos/Dev/29. Projeto Aterramento/1. Sistema de Aterramento Poste/"/>
    </mc:Choice>
  </mc:AlternateContent>
  <xr:revisionPtr revIDLastSave="667" documentId="8_{A9A81BAF-AA54-4F10-A11B-435D62230CFE}" xr6:coauthVersionLast="47" xr6:coauthVersionMax="47" xr10:uidLastSave="{81B09228-C055-489B-BA68-EF87D1AB8618}"/>
  <bookViews>
    <workbookView xWindow="-108" yWindow="-108" windowWidth="23256" windowHeight="12456" xr2:uid="{00000000-000D-0000-FFFF-FFFF00000000}"/>
  </bookViews>
  <sheets>
    <sheet name="ENTRADA" sheetId="1" r:id="rId1"/>
    <sheet name="SAÍDA" sheetId="2" r:id="rId2"/>
    <sheet name="BETAS" sheetId="4" r:id="rId3"/>
  </sheets>
  <functionGroups builtInGroupCount="19"/>
  <definedNames>
    <definedName name="A">#REF!</definedName>
    <definedName name="ba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D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xlnm.Recorder">#REF!</definedName>
    <definedName name="JAIR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cro2" description="Macro gravada em 17/09/97 por Bruno - Planejamento" xlm="1">#REF!</definedName>
    <definedName name="nw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OS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4" i="4" l="1" a="1"/>
  <c r="AO4" i="4" s="1"/>
  <c r="AO5" i="4" s="1"/>
</calcChain>
</file>

<file path=xl/sharedStrings.xml><?xml version="1.0" encoding="utf-8"?>
<sst xmlns="http://schemas.openxmlformats.org/spreadsheetml/2006/main" count="65" uniqueCount="35">
  <si>
    <t>Dimensões do sistema de aterramento</t>
  </si>
  <si>
    <t>Torre</t>
  </si>
  <si>
    <t>Estratificação</t>
  </si>
  <si>
    <t>h</t>
  </si>
  <si>
    <t>Comprimento da haste (m)</t>
  </si>
  <si>
    <t>Lado do triângulo (m)</t>
  </si>
  <si>
    <t>BETA 200</t>
  </si>
  <si>
    <t>BETA 100</t>
  </si>
  <si>
    <t>BETA 50</t>
  </si>
  <si>
    <t>BETA 20</t>
  </si>
  <si>
    <t>BETA 10</t>
  </si>
  <si>
    <t>BETA 5</t>
  </si>
  <si>
    <t>BETA 2</t>
  </si>
  <si>
    <t>BETA 1</t>
  </si>
  <si>
    <t>BETA 0,5</t>
  </si>
  <si>
    <t>BETA 0,2</t>
  </si>
  <si>
    <t>BETA 0,1</t>
  </si>
  <si>
    <t>BETA 0,05</t>
  </si>
  <si>
    <t>BETA 0,01</t>
  </si>
  <si>
    <t>X</t>
  </si>
  <si>
    <t>Y</t>
  </si>
  <si>
    <t>Valor de alfa calculado</t>
  </si>
  <si>
    <t>Valor mais próximo</t>
  </si>
  <si>
    <t>Valor de N</t>
  </si>
  <si>
    <t>Número
Torre</t>
  </si>
  <si>
    <t>Configuração</t>
  </si>
  <si>
    <t>Resistencia
(Ω)</t>
  </si>
  <si>
    <t>Valor de Referência (Ω)</t>
  </si>
  <si>
    <r>
      <t>Valor médio máximo [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>]</t>
    </r>
  </si>
  <si>
    <t>Seção da haste (m)</t>
  </si>
  <si>
    <t>Profundidade do contrapeso (m)</t>
  </si>
  <si>
    <t>Seção do contrapeso (m)</t>
  </si>
  <si>
    <t>Triangular</t>
  </si>
  <si>
    <t>Resistividade Aparente</t>
  </si>
  <si>
    <t>0/1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</si>
</sst>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0" borderId="0"/>
  </cellStyleXfs>
  <cellXfs count="22">
    <xf numFmtId="0" fontId="0" fillId="0" borderId="0" xfId="0"/>
    <xf numFmtId="0" fontId="1" fillId="3" borderId="3" xfId="2" applyBorder="1"/>
    <xf numFmtId="0" fontId="0" fillId="0" borderId="4" xfId="0" applyBorder="1"/>
    <xf numFmtId="0" fontId="1" fillId="3" borderId="5" xfId="2" applyBorder="1"/>
    <xf numFmtId="0" fontId="0" fillId="0" borderId="6" xfId="0" applyBorder="1"/>
    <xf numFmtId="0" fontId="1" fillId="2" borderId="5" xfId="1" applyBorder="1"/>
    <xf numFmtId="0" fontId="1" fillId="2" borderId="8" xfId="1" applyBorder="1"/>
    <xf numFmtId="0" fontId="1" fillId="2" borderId="6" xfId="1" applyBorder="1"/>
    <xf numFmtId="0" fontId="4" fillId="0" borderId="0" xfId="4" applyProtection="1">
      <protection hidden="1"/>
    </xf>
    <xf numFmtId="0" fontId="2" fillId="0" borderId="9" xfId="4" applyFont="1" applyBorder="1" applyAlignment="1" applyProtection="1">
      <alignment horizontal="center"/>
      <protection hidden="1"/>
    </xf>
    <xf numFmtId="0" fontId="4" fillId="0" borderId="9" xfId="4" applyBorder="1" applyAlignment="1" applyProtection="1">
      <alignment horizontal="center"/>
      <protection hidden="1"/>
    </xf>
    <xf numFmtId="0" fontId="4" fillId="0" borderId="0" xfId="4" applyAlignment="1" applyProtection="1">
      <alignment horizontal="center"/>
      <protection hidden="1"/>
    </xf>
    <xf numFmtId="0" fontId="3" fillId="4" borderId="13" xfId="3" applyBorder="1" applyAlignment="1" applyProtection="1">
      <alignment horizontal="center" vertical="center" wrapText="1"/>
      <protection hidden="1"/>
    </xf>
    <xf numFmtId="0" fontId="3" fillId="4" borderId="14" xfId="3" applyBorder="1" applyAlignment="1" applyProtection="1">
      <alignment horizontal="center" vertical="center" wrapText="1"/>
      <protection hidden="1"/>
    </xf>
    <xf numFmtId="0" fontId="3" fillId="4" borderId="12" xfId="3" applyBorder="1" applyAlignment="1">
      <alignment horizontal="center" vertical="center" wrapText="1"/>
    </xf>
    <xf numFmtId="0" fontId="0" fillId="3" borderId="13" xfId="2" applyFont="1" applyBorder="1"/>
    <xf numFmtId="0" fontId="0" fillId="0" borderId="15" xfId="0" applyBorder="1"/>
    <xf numFmtId="0" fontId="3" fillId="4" borderId="1" xfId="3" applyBorder="1" applyAlignment="1">
      <alignment horizontal="center"/>
    </xf>
    <xf numFmtId="0" fontId="3" fillId="4" borderId="2" xfId="3" applyBorder="1" applyAlignment="1">
      <alignment horizontal="center"/>
    </xf>
    <xf numFmtId="0" fontId="3" fillId="4" borderId="7" xfId="3" applyBorder="1" applyAlignment="1">
      <alignment horizontal="center"/>
    </xf>
    <xf numFmtId="0" fontId="2" fillId="0" borderId="10" xfId="4" applyFont="1" applyBorder="1" applyAlignment="1" applyProtection="1">
      <alignment horizontal="center"/>
      <protection hidden="1"/>
    </xf>
    <xf numFmtId="0" fontId="2" fillId="0" borderId="11" xfId="4" applyFont="1" applyBorder="1" applyAlignment="1" applyProtection="1">
      <alignment horizontal="center"/>
      <protection hidden="1"/>
    </xf>
  </cellXfs>
  <cellStyles count="5">
    <cellStyle name="40% - Ênfase1" xfId="1" builtinId="31"/>
    <cellStyle name="60% - Ênfase1" xfId="2" builtinId="32"/>
    <cellStyle name="Ênfase5" xfId="3" builtinId="45"/>
    <cellStyle name="Normal" xfId="0" builtinId="0"/>
    <cellStyle name="Normal 2" xfId="4" xr:uid="{EC1C9348-9EC9-4A6D-81FC-F8CDAB0DCC2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0</xdr:row>
          <xdr:rowOff>0</xdr:rowOff>
        </xdr:from>
        <xdr:to>
          <xdr:col>11</xdr:col>
          <xdr:colOff>7620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</xdr:row>
      <xdr:rowOff>0</xdr:rowOff>
    </xdr:from>
    <xdr:to>
      <xdr:col>4</xdr:col>
      <xdr:colOff>133350</xdr:colOff>
      <xdr:row>1</xdr:row>
      <xdr:rowOff>180975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3400" y="190500"/>
          <a:ext cx="1333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</xdr:row>
      <xdr:rowOff>0</xdr:rowOff>
    </xdr:from>
    <xdr:to>
      <xdr:col>5</xdr:col>
      <xdr:colOff>142875</xdr:colOff>
      <xdr:row>1</xdr:row>
      <xdr:rowOff>180975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71975" y="771525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11</xdr:row>
      <xdr:rowOff>180975</xdr:rowOff>
    </xdr:from>
    <xdr:to>
      <xdr:col>1</xdr:col>
      <xdr:colOff>1085850</xdr:colOff>
      <xdr:row>26</xdr:row>
      <xdr:rowOff>19050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2333625"/>
          <a:ext cx="3114675" cy="2695575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OBS: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b="0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b="0">
              <a:effectLst/>
            </a:rPr>
            <a:t>- Esta</a:t>
          </a:r>
          <a:r>
            <a:rPr lang="pt-BR" b="0" baseline="0">
              <a:effectLst/>
            </a:rPr>
            <a:t> planilha considera apenas a configuração de hastes triangular;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b="0" baseline="0">
              <a:effectLst/>
            </a:rPr>
            <a:t>- Calculos efetuados conforme norma IEEE Std. 80 (2000);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b="0" baseline="0">
              <a:effectLst/>
            </a:rPr>
            <a:t>-  Caso o valor de resistência seja superior ao estipulado, a fase triangular com contrapesos nas pontas deve ser aplicada, e seu valor de resistência calculado com o SE Ground;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Devem ser fornecidos, NO MÍNIMO, dois valores de entrada na estratificação.</a:t>
          </a:r>
        </a:p>
        <a:p>
          <a:pPr algn="l"/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 sz="10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Autor: João Vítor Drumond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G10"/>
  <sheetViews>
    <sheetView tabSelected="1" workbookViewId="0">
      <selection sqref="A1:B1"/>
    </sheetView>
  </sheetViews>
  <sheetFormatPr defaultRowHeight="14.4" x14ac:dyDescent="0.3"/>
  <cols>
    <col min="1" max="1" width="30.44140625" bestFit="1" customWidth="1"/>
    <col min="2" max="2" width="16.44140625" customWidth="1"/>
  </cols>
  <sheetData>
    <row r="1" spans="1:7" x14ac:dyDescent="0.3">
      <c r="A1" s="17" t="s">
        <v>0</v>
      </c>
      <c r="B1" s="18"/>
      <c r="D1" s="17" t="s">
        <v>2</v>
      </c>
      <c r="E1" s="19"/>
      <c r="F1" s="19"/>
      <c r="G1" s="18"/>
    </row>
    <row r="2" spans="1:7" ht="15" thickBot="1" x14ac:dyDescent="0.35">
      <c r="A2" s="1" t="s">
        <v>4</v>
      </c>
      <c r="B2" s="2">
        <v>2.5</v>
      </c>
      <c r="D2" s="5" t="s">
        <v>1</v>
      </c>
      <c r="E2" s="6"/>
      <c r="F2" s="6"/>
      <c r="G2" s="7" t="s">
        <v>3</v>
      </c>
    </row>
    <row r="3" spans="1:7" x14ac:dyDescent="0.3">
      <c r="A3" s="1" t="s">
        <v>29</v>
      </c>
      <c r="B3" s="2">
        <v>0.08</v>
      </c>
      <c r="D3" t="s">
        <v>34</v>
      </c>
      <c r="E3">
        <v>100</v>
      </c>
      <c r="F3">
        <v>100</v>
      </c>
      <c r="G3">
        <v>1</v>
      </c>
    </row>
    <row r="4" spans="1:7" x14ac:dyDescent="0.3">
      <c r="A4" s="1" t="s">
        <v>5</v>
      </c>
      <c r="B4" s="2">
        <v>7</v>
      </c>
      <c r="D4" t="s">
        <v>34</v>
      </c>
      <c r="E4">
        <v>100</v>
      </c>
      <c r="F4">
        <v>100</v>
      </c>
      <c r="G4">
        <v>1</v>
      </c>
    </row>
    <row r="5" spans="1:7" x14ac:dyDescent="0.3">
      <c r="A5" s="1" t="s">
        <v>30</v>
      </c>
      <c r="B5" s="2">
        <v>0.8</v>
      </c>
    </row>
    <row r="6" spans="1:7" ht="15" thickBot="1" x14ac:dyDescent="0.35">
      <c r="A6" s="3" t="s">
        <v>31</v>
      </c>
      <c r="B6" s="4">
        <v>4.7999999999999996E-3</v>
      </c>
    </row>
    <row r="7" spans="1:7" ht="15" thickBot="1" x14ac:dyDescent="0.35"/>
    <row r="8" spans="1:7" ht="15" thickBot="1" x14ac:dyDescent="0.35">
      <c r="A8" s="15" t="s">
        <v>28</v>
      </c>
      <c r="B8" s="16">
        <v>20</v>
      </c>
    </row>
    <row r="9" spans="1:7" ht="15" thickBot="1" x14ac:dyDescent="0.35"/>
    <row r="10" spans="1:7" ht="15" thickBot="1" x14ac:dyDescent="0.35">
      <c r="A10" s="15" t="s">
        <v>25</v>
      </c>
      <c r="B10" s="16" t="s">
        <v>32</v>
      </c>
    </row>
  </sheetData>
  <mergeCells count="2">
    <mergeCell ref="A1:B1"/>
    <mergeCell ref="D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">
                <anchor moveWithCells="1" sizeWithCells="1">
                  <from>
                    <xdr:col>7</xdr:col>
                    <xdr:colOff>601980</xdr:colOff>
                    <xdr:row>0</xdr:row>
                    <xdr:rowOff>0</xdr:rowOff>
                  </from>
                  <to>
                    <xdr:col>11</xdr:col>
                    <xdr:colOff>7620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6CA9-4246-4369-9DC9-AF36605206A5}">
  <sheetPr codeName="Planilha2"/>
  <dimension ref="A1:E3"/>
  <sheetViews>
    <sheetView workbookViewId="0">
      <selection activeCell="A2" sqref="A2:A3"/>
    </sheetView>
  </sheetViews>
  <sheetFormatPr defaultRowHeight="14.4" x14ac:dyDescent="0.3"/>
  <cols>
    <col min="1" max="1" width="12.5546875" customWidth="1"/>
    <col min="2" max="2" width="13.44140625" customWidth="1"/>
    <col min="3" max="4" width="13.88671875" customWidth="1"/>
    <col min="5" max="5" width="14.33203125" customWidth="1"/>
  </cols>
  <sheetData>
    <row r="1" spans="1:5" ht="29.4" thickBot="1" x14ac:dyDescent="0.35">
      <c r="A1" s="12" t="s">
        <v>24</v>
      </c>
      <c r="B1" s="13" t="s">
        <v>25</v>
      </c>
      <c r="C1" s="13" t="s">
        <v>27</v>
      </c>
      <c r="D1" s="13" t="s">
        <v>33</v>
      </c>
      <c r="E1" s="14" t="s">
        <v>26</v>
      </c>
    </row>
    <row r="2" spans="1:5" x14ac:dyDescent="0.3">
      <c r="A2" t="s">
        <v>34</v>
      </c>
      <c r="B2" t="s">
        <v>32</v>
      </c>
      <c r="C2">
        <v>20</v>
      </c>
      <c r="D2">
        <v>109</v>
      </c>
      <c r="E2">
        <v>9.4184449031030244</v>
      </c>
    </row>
    <row r="3" spans="1:5" x14ac:dyDescent="0.3">
      <c r="A3" t="s">
        <v>34</v>
      </c>
      <c r="B3" t="s">
        <v>32</v>
      </c>
      <c r="C3">
        <v>20</v>
      </c>
      <c r="D3">
        <v>109</v>
      </c>
      <c r="E3">
        <v>9.4184449031030244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0D571-4383-48D3-8AFC-D5ABD69D973E}">
  <sheetPr codeName="Plan3"/>
  <dimension ref="A1:AO70"/>
  <sheetViews>
    <sheetView workbookViewId="0">
      <selection activeCell="H3" sqref="H3"/>
    </sheetView>
  </sheetViews>
  <sheetFormatPr defaultColWidth="9.109375" defaultRowHeight="13.2" x14ac:dyDescent="0.25"/>
  <cols>
    <col min="1" max="2" width="9.109375" style="8"/>
    <col min="3" max="3" width="4.88671875" style="8" customWidth="1"/>
    <col min="4" max="5" width="9.109375" style="8"/>
    <col min="6" max="6" width="5.109375" style="8" customWidth="1"/>
    <col min="7" max="8" width="9.109375" style="8"/>
    <col min="9" max="9" width="6" style="8" customWidth="1"/>
    <col min="10" max="11" width="9.109375" style="8"/>
    <col min="12" max="12" width="5.88671875" style="8" customWidth="1"/>
    <col min="13" max="14" width="9.109375" style="8"/>
    <col min="15" max="15" width="5.88671875" style="8" customWidth="1"/>
    <col min="16" max="17" width="9.109375" style="8"/>
    <col min="18" max="18" width="6.33203125" style="8" customWidth="1"/>
    <col min="19" max="19" width="9.109375" style="8"/>
    <col min="20" max="20" width="8.33203125" style="8" customWidth="1"/>
    <col min="21" max="21" width="4.33203125" style="8" customWidth="1"/>
    <col min="22" max="23" width="9.109375" style="8"/>
    <col min="24" max="24" width="5.6640625" style="8" customWidth="1"/>
    <col min="25" max="26" width="9.109375" style="8"/>
    <col min="27" max="27" width="5.44140625" style="8" customWidth="1"/>
    <col min="28" max="29" width="9.109375" style="8"/>
    <col min="30" max="30" width="6" style="8" customWidth="1"/>
    <col min="31" max="32" width="9.109375" style="8"/>
    <col min="33" max="33" width="5.44140625" style="8" customWidth="1"/>
    <col min="34" max="35" width="9.109375" style="8"/>
    <col min="36" max="36" width="4.44140625" style="8" customWidth="1"/>
    <col min="37" max="38" width="9.109375" style="8"/>
    <col min="39" max="39" width="7.44140625" style="8" customWidth="1"/>
    <col min="40" max="40" width="21.109375" style="8" hidden="1" customWidth="1"/>
    <col min="41" max="41" width="9.109375" style="8" hidden="1" customWidth="1"/>
    <col min="42" max="16384" width="9.109375" style="8"/>
  </cols>
  <sheetData>
    <row r="1" spans="1:41" ht="14.4" x14ac:dyDescent="0.3">
      <c r="A1" s="20" t="s">
        <v>6</v>
      </c>
      <c r="B1" s="21"/>
      <c r="D1" s="20" t="s">
        <v>7</v>
      </c>
      <c r="E1" s="21"/>
      <c r="G1" s="20" t="s">
        <v>8</v>
      </c>
      <c r="H1" s="21"/>
      <c r="J1" s="20" t="s">
        <v>9</v>
      </c>
      <c r="K1" s="21"/>
      <c r="M1" s="20" t="s">
        <v>10</v>
      </c>
      <c r="N1" s="21"/>
      <c r="P1" s="20" t="s">
        <v>11</v>
      </c>
      <c r="Q1" s="21"/>
      <c r="S1" s="20" t="s">
        <v>12</v>
      </c>
      <c r="T1" s="21"/>
      <c r="V1" s="20" t="s">
        <v>13</v>
      </c>
      <c r="W1" s="21"/>
      <c r="Y1" s="20" t="s">
        <v>14</v>
      </c>
      <c r="Z1" s="21"/>
      <c r="AB1" s="20" t="s">
        <v>15</v>
      </c>
      <c r="AC1" s="21"/>
      <c r="AE1" s="20" t="s">
        <v>16</v>
      </c>
      <c r="AF1" s="21"/>
      <c r="AH1" s="20" t="s">
        <v>17</v>
      </c>
      <c r="AI1" s="21"/>
      <c r="AK1" s="20" t="s">
        <v>18</v>
      </c>
      <c r="AL1" s="21"/>
    </row>
    <row r="2" spans="1:41" ht="14.4" x14ac:dyDescent="0.3">
      <c r="A2" s="9" t="s">
        <v>19</v>
      </c>
      <c r="B2" s="9" t="s">
        <v>20</v>
      </c>
      <c r="D2" s="9" t="s">
        <v>19</v>
      </c>
      <c r="E2" s="9" t="s">
        <v>20</v>
      </c>
      <c r="G2" s="9" t="s">
        <v>19</v>
      </c>
      <c r="H2" s="9" t="s">
        <v>20</v>
      </c>
      <c r="J2" s="9" t="s">
        <v>19</v>
      </c>
      <c r="K2" s="9" t="s">
        <v>20</v>
      </c>
      <c r="M2" s="9" t="s">
        <v>19</v>
      </c>
      <c r="N2" s="9" t="s">
        <v>20</v>
      </c>
      <c r="P2" s="9" t="s">
        <v>19</v>
      </c>
      <c r="Q2" s="9" t="s">
        <v>20</v>
      </c>
      <c r="S2" s="9" t="s">
        <v>19</v>
      </c>
      <c r="T2" s="9" t="s">
        <v>20</v>
      </c>
      <c r="V2" s="9" t="s">
        <v>19</v>
      </c>
      <c r="W2" s="9" t="s">
        <v>20</v>
      </c>
      <c r="Y2" s="9" t="s">
        <v>19</v>
      </c>
      <c r="Z2" s="9" t="s">
        <v>20</v>
      </c>
      <c r="AB2" s="9" t="s">
        <v>19</v>
      </c>
      <c r="AC2" s="9" t="s">
        <v>20</v>
      </c>
      <c r="AE2" s="9" t="s">
        <v>19</v>
      </c>
      <c r="AF2" s="9" t="s">
        <v>20</v>
      </c>
      <c r="AH2" s="9" t="s">
        <v>19</v>
      </c>
      <c r="AI2" s="9" t="s">
        <v>20</v>
      </c>
      <c r="AK2" s="9" t="s">
        <v>19</v>
      </c>
      <c r="AL2" s="9" t="s">
        <v>20</v>
      </c>
    </row>
    <row r="3" spans="1:41" x14ac:dyDescent="0.25">
      <c r="A3" s="10">
        <v>1.14468356132703E-2</v>
      </c>
      <c r="B3" s="10">
        <v>1</v>
      </c>
      <c r="D3" s="10">
        <v>0.22280585757784199</v>
      </c>
      <c r="E3" s="10">
        <v>1.4377666747981499</v>
      </c>
      <c r="G3" s="10">
        <v>0.104134661084393</v>
      </c>
      <c r="H3" s="10">
        <v>1.2157418925889401</v>
      </c>
      <c r="J3" s="10">
        <v>0.105525559684021</v>
      </c>
      <c r="K3" s="10">
        <v>1.1499999999999999</v>
      </c>
      <c r="M3" s="10">
        <v>0.112863819783997</v>
      </c>
      <c r="N3" s="10">
        <v>1.09451427197956</v>
      </c>
      <c r="P3" s="10">
        <v>0.10554218026708601</v>
      </c>
      <c r="Q3" s="10">
        <v>1.04591507595801</v>
      </c>
      <c r="S3" s="10">
        <v>0.114391606862371</v>
      </c>
      <c r="T3" s="10">
        <v>1.02263346159264</v>
      </c>
      <c r="W3" s="11">
        <v>1</v>
      </c>
      <c r="Y3" s="10">
        <v>0.21687148443590401</v>
      </c>
      <c r="Z3" s="10">
        <v>0.96155805289382101</v>
      </c>
      <c r="AB3" s="10">
        <v>0.22280585757784199</v>
      </c>
      <c r="AC3" s="10">
        <v>0.95</v>
      </c>
      <c r="AE3" s="10">
        <v>0.120712383373063</v>
      </c>
      <c r="AF3" s="10">
        <v>0.99</v>
      </c>
      <c r="AH3" s="10">
        <v>2.3230291273493998E-2</v>
      </c>
      <c r="AI3" s="10">
        <v>1</v>
      </c>
      <c r="AK3" s="10">
        <v>1.4384498882876601E-2</v>
      </c>
      <c r="AL3" s="10">
        <v>1</v>
      </c>
      <c r="AN3" s="8" t="s">
        <v>21</v>
      </c>
      <c r="AO3" s="8">
        <v>13.9</v>
      </c>
    </row>
    <row r="4" spans="1:41" x14ac:dyDescent="0.25">
      <c r="A4" s="10">
        <v>1.34619502492619E-2</v>
      </c>
      <c r="B4" s="10">
        <v>1</v>
      </c>
      <c r="D4" s="10">
        <v>0.25846958238121098</v>
      </c>
      <c r="E4" s="10">
        <v>1.51638391147356</v>
      </c>
      <c r="G4" s="10">
        <v>0.12245500477848199</v>
      </c>
      <c r="H4" s="10">
        <v>1.2316902911631</v>
      </c>
      <c r="J4" s="10">
        <v>0.117509503880458</v>
      </c>
      <c r="K4" s="10">
        <v>1.1654265390540299</v>
      </c>
      <c r="M4" s="10">
        <v>0.12234641294843999</v>
      </c>
      <c r="N4" s="10">
        <v>1.1092236033027301</v>
      </c>
      <c r="P4" s="10">
        <v>0.127472727009357</v>
      </c>
      <c r="Q4" s="10">
        <v>1.04591507595801</v>
      </c>
      <c r="S4" s="10">
        <v>0.13262571468870901</v>
      </c>
      <c r="T4" s="10">
        <v>1.03463346159264</v>
      </c>
      <c r="Y4" s="10">
        <v>0.25846958238121198</v>
      </c>
      <c r="Z4" s="10">
        <v>0.95</v>
      </c>
      <c r="AB4" s="10">
        <v>0.27280840436152498</v>
      </c>
      <c r="AC4" s="10">
        <v>0.94</v>
      </c>
      <c r="AE4" s="10">
        <v>0.153766352962009</v>
      </c>
      <c r="AF4" s="10">
        <v>0.98050000000000004</v>
      </c>
      <c r="AH4" s="10">
        <v>2.9576779804885999E-2</v>
      </c>
      <c r="AI4" s="10">
        <v>1</v>
      </c>
      <c r="AK4" s="10">
        <v>1.9344152513505301E-2</v>
      </c>
      <c r="AL4" s="10">
        <v>1</v>
      </c>
      <c r="AN4" s="8" t="s">
        <v>22</v>
      </c>
      <c r="AO4" s="8">
        <f t="array" ref="AO4">INDEX(AK3:AK37,MATCH(MIN(ABS(AK3:AK37-AO3)),ABS(AK3:AK37-AO3),0))</f>
        <v>14.977474763451999</v>
      </c>
    </row>
    <row r="5" spans="1:41" x14ac:dyDescent="0.25">
      <c r="A5" s="10">
        <v>1.7639199544499901E-2</v>
      </c>
      <c r="B5" s="10">
        <v>1</v>
      </c>
      <c r="D5" s="10">
        <v>0.31647585531171601</v>
      </c>
      <c r="E5" s="10">
        <v>1.5992999471201801</v>
      </c>
      <c r="G5" s="10">
        <v>0.14206682301835</v>
      </c>
      <c r="H5" s="10">
        <v>1.2642174777878801</v>
      </c>
      <c r="J5" s="10">
        <v>0.13262571468870901</v>
      </c>
      <c r="K5" s="10">
        <v>1.1969032055540401</v>
      </c>
      <c r="M5" s="10">
        <v>0.145714794996053</v>
      </c>
      <c r="N5" s="10">
        <v>1.1392379649295299</v>
      </c>
      <c r="P5" s="10">
        <v>0.156050443514268</v>
      </c>
      <c r="Q5" s="10">
        <v>1.0784867644184799</v>
      </c>
      <c r="S5" s="10">
        <v>0.160095661166299</v>
      </c>
      <c r="T5" s="10">
        <v>1.04414157640692</v>
      </c>
      <c r="Y5" s="10">
        <v>0.308046607372498</v>
      </c>
      <c r="Z5" s="10">
        <v>0.93858087640565802</v>
      </c>
      <c r="AB5" s="10">
        <v>0.34783646983233901</v>
      </c>
      <c r="AC5" s="10">
        <v>0.92</v>
      </c>
      <c r="AE5" s="10">
        <v>0.20393372456662701</v>
      </c>
      <c r="AF5" s="10">
        <v>0.98025443532608503</v>
      </c>
      <c r="AH5" s="10">
        <v>4.2190051355088798E-2</v>
      </c>
      <c r="AI5" s="10">
        <v>1</v>
      </c>
      <c r="AK5" s="10">
        <v>3.01670028097142E-2</v>
      </c>
      <c r="AL5" s="10">
        <v>1</v>
      </c>
      <c r="AN5" s="8" t="s">
        <v>23</v>
      </c>
      <c r="AO5" s="8">
        <f>VLOOKUP(AO4,AK3:AL37,2,FALSE)</f>
        <v>0.41353105525418599</v>
      </c>
    </row>
    <row r="6" spans="1:41" x14ac:dyDescent="0.25">
      <c r="A6" s="10">
        <v>2.2194436927403902E-2</v>
      </c>
      <c r="B6" s="10">
        <v>1.01334524944414</v>
      </c>
      <c r="D6" s="10">
        <v>0.40351339085916599</v>
      </c>
      <c r="E6" s="10">
        <v>1.7322519353096799</v>
      </c>
      <c r="G6" s="10">
        <v>0.164819577926093</v>
      </c>
      <c r="H6" s="10">
        <v>1.2808017909081999</v>
      </c>
      <c r="J6" s="10">
        <v>0.153766352962009</v>
      </c>
      <c r="K6" s="10">
        <v>1.22923001618648</v>
      </c>
      <c r="M6" s="10">
        <v>0.155847819348613</v>
      </c>
      <c r="N6" s="10">
        <v>1.15454834425585</v>
      </c>
      <c r="P6" s="10">
        <v>0.188476072177436</v>
      </c>
      <c r="Q6" s="10">
        <v>1.09515103507423</v>
      </c>
      <c r="S6" s="10">
        <v>0.20669428423786601</v>
      </c>
      <c r="T6" s="10">
        <v>1.0575477800578801</v>
      </c>
      <c r="Y6" s="10">
        <v>0.382304708920853</v>
      </c>
      <c r="Z6" s="10">
        <v>0.92800000000000005</v>
      </c>
      <c r="AB6" s="10">
        <v>0.38750001478921797</v>
      </c>
      <c r="AC6" s="10">
        <v>0.91</v>
      </c>
      <c r="AE6" s="10">
        <v>0.39411270729241599</v>
      </c>
      <c r="AF6" s="10">
        <v>0.93336011344409997</v>
      </c>
      <c r="AH6" s="10">
        <v>5.6857499132718502E-2</v>
      </c>
      <c r="AI6" s="10">
        <v>1</v>
      </c>
      <c r="AK6" s="10">
        <v>4.6415888336127802E-2</v>
      </c>
      <c r="AL6" s="10">
        <v>1</v>
      </c>
    </row>
    <row r="7" spans="1:41" x14ac:dyDescent="0.25">
      <c r="A7" s="10">
        <v>3.11141360570686E-2</v>
      </c>
      <c r="B7" s="10">
        <v>1.04057241211191</v>
      </c>
      <c r="D7" s="10">
        <v>0.45563453726599901</v>
      </c>
      <c r="E7" s="10">
        <v>1.8028169032441601</v>
      </c>
      <c r="G7" s="10">
        <v>0.19381617986128999</v>
      </c>
      <c r="H7" s="10">
        <v>1.31462594230496</v>
      </c>
      <c r="J7" s="10">
        <v>0.17827682481284399</v>
      </c>
      <c r="K7" s="10">
        <v>1.2624299322470001</v>
      </c>
      <c r="M7" s="10">
        <v>0.195871298723056</v>
      </c>
      <c r="N7" s="10">
        <v>1.18578914315063</v>
      </c>
      <c r="P7" s="10">
        <v>0.25017450283034798</v>
      </c>
      <c r="Q7" s="10">
        <v>1.1467047537541299</v>
      </c>
      <c r="S7" s="10">
        <v>0.26329217746554701</v>
      </c>
      <c r="T7" s="10">
        <v>1.0695477800578801</v>
      </c>
      <c r="Y7" s="10">
        <v>0.46810231451907403</v>
      </c>
      <c r="Z7" s="10">
        <v>0.92029901216253995</v>
      </c>
      <c r="AB7" s="10">
        <v>1.18802078191208</v>
      </c>
      <c r="AC7" s="10">
        <v>0.78314907705891101</v>
      </c>
      <c r="AE7" s="10">
        <v>0.52977028051760999</v>
      </c>
      <c r="AF7" s="10">
        <v>0.90208858056341801</v>
      </c>
      <c r="AH7" s="10">
        <v>7.1369658651276993E-2</v>
      </c>
      <c r="AI7" s="10">
        <v>1</v>
      </c>
      <c r="AK7" s="10">
        <v>7.2385090681732503E-2</v>
      </c>
      <c r="AL7" s="10">
        <v>1</v>
      </c>
    </row>
    <row r="8" spans="1:41" x14ac:dyDescent="0.25">
      <c r="A8" s="10">
        <v>3.9681816940309901E-2</v>
      </c>
      <c r="B8" s="10">
        <v>1.06853113037471</v>
      </c>
      <c r="D8" s="10">
        <v>0.49407069228571698</v>
      </c>
      <c r="E8" s="10">
        <v>1.8762564038018099</v>
      </c>
      <c r="G8" s="10">
        <v>0.218864816844905</v>
      </c>
      <c r="H8" s="10">
        <v>1.3670443563280501</v>
      </c>
      <c r="J8" s="10">
        <v>0.20121003427340101</v>
      </c>
      <c r="K8" s="10">
        <v>1.2793646493363799</v>
      </c>
      <c r="M8" s="10">
        <v>0.23328306446604799</v>
      </c>
      <c r="N8" s="10">
        <v>1.2342424807629</v>
      </c>
      <c r="P8" s="10">
        <v>0.37491991214723203</v>
      </c>
      <c r="Q8" s="10">
        <v>1.20068533943649</v>
      </c>
      <c r="S8" s="10">
        <v>0.35871086030745503</v>
      </c>
      <c r="T8" s="10">
        <v>1.0814837471201999</v>
      </c>
      <c r="Y8" s="10">
        <v>0.58094364558604505</v>
      </c>
      <c r="Z8" s="10">
        <v>0.91015275739538803</v>
      </c>
      <c r="AB8" s="10">
        <v>1.39691168663141</v>
      </c>
      <c r="AC8" s="10">
        <v>0.76667341299435299</v>
      </c>
      <c r="AE8" s="10">
        <v>0.814608439428535</v>
      </c>
      <c r="AF8" s="10">
        <v>0.85581989062522401</v>
      </c>
      <c r="AH8" s="10">
        <v>9.8953703331249199E-2</v>
      </c>
      <c r="AI8" s="10">
        <v>1</v>
      </c>
      <c r="AK8" s="10">
        <v>9.6040882125053795E-2</v>
      </c>
      <c r="AL8" s="10">
        <v>0.98899999999999999</v>
      </c>
    </row>
    <row r="9" spans="1:41" x14ac:dyDescent="0.25">
      <c r="A9" s="10">
        <v>4.7945866710018797E-2</v>
      </c>
      <c r="B9" s="10">
        <v>1.11188401575068</v>
      </c>
      <c r="D9" s="10">
        <v>0.57315479444821005</v>
      </c>
      <c r="E9" s="10">
        <v>1.97885030609972</v>
      </c>
      <c r="G9" s="10">
        <v>0.264415792356895</v>
      </c>
      <c r="H9" s="10">
        <v>1.4215528630842</v>
      </c>
      <c r="J9" s="10">
        <v>0.23328306446604799</v>
      </c>
      <c r="K9" s="10">
        <v>1.33154404335933</v>
      </c>
      <c r="M9" s="10">
        <v>0.29716160868007702</v>
      </c>
      <c r="N9" s="10">
        <v>1.30194064075361</v>
      </c>
      <c r="P9" s="10">
        <v>0.477920636115159</v>
      </c>
      <c r="Q9" s="10">
        <v>1.27663280804109</v>
      </c>
      <c r="S9" s="10">
        <v>0.427225271366037</v>
      </c>
      <c r="T9" s="10">
        <v>1.0914837471201999</v>
      </c>
      <c r="Y9" s="10">
        <v>0.74071540180409001</v>
      </c>
      <c r="Z9" s="10">
        <v>0.895140482060655</v>
      </c>
      <c r="AB9" s="10">
        <v>1.6874775967340301</v>
      </c>
      <c r="AC9" s="10">
        <v>0.746075507523005</v>
      </c>
      <c r="AE9" s="10">
        <v>1.0517143756126299</v>
      </c>
      <c r="AF9" s="10">
        <v>0.82256637242511199</v>
      </c>
      <c r="AH9" s="10">
        <v>0.12598773988020601</v>
      </c>
      <c r="AI9" s="10">
        <v>0.98610734952405499</v>
      </c>
      <c r="AK9" s="10">
        <v>0.151805165529726</v>
      </c>
      <c r="AL9" s="10">
        <v>0.95901620480409</v>
      </c>
    </row>
    <row r="10" spans="1:41" x14ac:dyDescent="0.25">
      <c r="A10" s="10">
        <v>5.8719093548912901E-2</v>
      </c>
      <c r="B10" s="10">
        <v>1.14175877657986</v>
      </c>
      <c r="D10" s="10">
        <v>0.62150465541769495</v>
      </c>
      <c r="E10" s="10">
        <v>2.0870540540282101</v>
      </c>
      <c r="G10" s="10">
        <v>0.29858866275514101</v>
      </c>
      <c r="H10" s="10">
        <v>1.4782348013716899</v>
      </c>
      <c r="J10" s="10">
        <v>0.25977570980150799</v>
      </c>
      <c r="K10" s="10">
        <v>1.36750732922796</v>
      </c>
      <c r="M10" s="10">
        <v>0.39411270729241599</v>
      </c>
      <c r="N10" s="10">
        <v>1.3551401237999501</v>
      </c>
      <c r="P10" s="10">
        <v>0.63436995556610398</v>
      </c>
      <c r="Q10" s="10">
        <v>1.3573842146950701</v>
      </c>
      <c r="S10" s="10">
        <v>0.49532529966266797</v>
      </c>
      <c r="T10" s="10">
        <v>1.1014837471201999</v>
      </c>
      <c r="Y10" s="10">
        <v>0.98345608701764198</v>
      </c>
      <c r="Z10" s="10">
        <v>0.88351144724544395</v>
      </c>
      <c r="AB10" s="10">
        <v>1.9575860098431701</v>
      </c>
      <c r="AC10" s="10">
        <v>0.73314646534867001</v>
      </c>
      <c r="AE10" s="10">
        <v>1.3762145065320599</v>
      </c>
      <c r="AF10" s="10">
        <v>0.79284271571837495</v>
      </c>
      <c r="AH10" s="10">
        <v>0.17221713146602699</v>
      </c>
      <c r="AI10" s="10">
        <v>0.96693791369773197</v>
      </c>
      <c r="AK10" s="10">
        <v>0.23994790313880099</v>
      </c>
      <c r="AL10" s="10">
        <v>0.923712081076841</v>
      </c>
    </row>
    <row r="11" spans="1:41" x14ac:dyDescent="0.25">
      <c r="A11" s="10">
        <v>7.3883013507380899E-2</v>
      </c>
      <c r="B11" s="10">
        <v>1.18808268419565</v>
      </c>
      <c r="D11" s="10">
        <v>0.68309155879182204</v>
      </c>
      <c r="E11" s="10">
        <v>2.1720722314642198</v>
      </c>
      <c r="G11" s="10">
        <v>0.35589316559248402</v>
      </c>
      <c r="H11" s="10">
        <v>1.5777714841497401</v>
      </c>
      <c r="J11" s="10">
        <v>0.29716160868007702</v>
      </c>
      <c r="K11" s="10">
        <v>1.4044419370268899</v>
      </c>
      <c r="M11" s="10">
        <v>0.48870985283773699</v>
      </c>
      <c r="N11" s="10">
        <v>1.42946951558538</v>
      </c>
      <c r="P11" s="10">
        <v>0.86505248836332804</v>
      </c>
      <c r="Q11" s="10">
        <v>1.44324342496771</v>
      </c>
      <c r="S11" s="10">
        <v>0.58993331113942005</v>
      </c>
      <c r="T11" s="10">
        <v>1.11596146797371</v>
      </c>
      <c r="Y11" s="10">
        <v>1.28823915256989</v>
      </c>
      <c r="Z11" s="10">
        <v>0.87239925501578497</v>
      </c>
      <c r="AB11" s="10">
        <v>2.42948414872704</v>
      </c>
      <c r="AC11" s="10">
        <v>0.71268304027519902</v>
      </c>
      <c r="AE11" s="10">
        <v>1.8499214353851099</v>
      </c>
      <c r="AF11" s="10">
        <v>0.75292055687150405</v>
      </c>
      <c r="AH11" s="10">
        <v>0.24566060499856901</v>
      </c>
      <c r="AI11" s="10">
        <v>0.94111830281812103</v>
      </c>
      <c r="AK11" s="10">
        <v>0.33148801898144997</v>
      </c>
      <c r="AL11" s="10">
        <v>0.89201878950678404</v>
      </c>
    </row>
    <row r="12" spans="1:41" x14ac:dyDescent="0.25">
      <c r="A12" s="10">
        <v>8.5723242813261602E-2</v>
      </c>
      <c r="B12" s="10">
        <v>1.2039379439764999</v>
      </c>
      <c r="D12" s="10">
        <v>0.76098400280398404</v>
      </c>
      <c r="E12" s="10">
        <v>2.26055370707431</v>
      </c>
      <c r="G12" s="10">
        <v>0.41289134291514201</v>
      </c>
      <c r="H12" s="10">
        <v>1.6406823671838799</v>
      </c>
      <c r="J12" s="10">
        <v>0.35392000342308899</v>
      </c>
      <c r="K12" s="10">
        <v>1.4813307635724799</v>
      </c>
      <c r="M12" s="10">
        <v>0.63095734448019303</v>
      </c>
      <c r="N12" s="10">
        <v>1.5281404281327</v>
      </c>
      <c r="P12" s="10">
        <v>1.13285093438381</v>
      </c>
      <c r="Q12" s="10">
        <v>1.53453352496841</v>
      </c>
      <c r="S12" s="10">
        <v>0.79299431341889903</v>
      </c>
      <c r="T12" s="10">
        <v>1.12840730710535</v>
      </c>
      <c r="Y12" s="10">
        <v>1.7336529699220999</v>
      </c>
      <c r="Z12" s="10">
        <v>0.85939925501578496</v>
      </c>
      <c r="AB12" s="10">
        <v>2.8954832626178701</v>
      </c>
      <c r="AC12" s="10">
        <v>0.69773422056006695</v>
      </c>
      <c r="AE12" s="10">
        <v>2.2633125185579699</v>
      </c>
      <c r="AF12" s="10">
        <v>0.72321316056852403</v>
      </c>
      <c r="AH12" s="10">
        <v>0.33106495932161301</v>
      </c>
      <c r="AI12" s="10">
        <v>0.90899738579725098</v>
      </c>
      <c r="AK12" s="10">
        <v>0.45795068550643703</v>
      </c>
      <c r="AL12" s="10">
        <v>0.857752121144013</v>
      </c>
    </row>
    <row r="13" spans="1:41" x14ac:dyDescent="0.25">
      <c r="A13" s="10">
        <v>9.6808946257777598E-2</v>
      </c>
      <c r="B13" s="10">
        <v>1.2500047961541301</v>
      </c>
      <c r="D13" s="10">
        <v>0.84775846673880295</v>
      </c>
      <c r="E13" s="10">
        <v>2.35263956167914</v>
      </c>
      <c r="G13" s="10">
        <v>0.472592476475584</v>
      </c>
      <c r="H13" s="10">
        <v>1.7061017118323201</v>
      </c>
      <c r="J13" s="10">
        <v>0.40485477892303201</v>
      </c>
      <c r="K13" s="10">
        <v>1.54174742557018</v>
      </c>
      <c r="M13" s="10">
        <v>0.76164364858942801</v>
      </c>
      <c r="N13" s="10">
        <v>1.6119588809930001</v>
      </c>
      <c r="P13" s="10">
        <v>1.4440759790100199</v>
      </c>
      <c r="Q13" s="10">
        <v>1.6315980371119101</v>
      </c>
      <c r="S13" s="10">
        <v>1.0101353323228901</v>
      </c>
      <c r="T13" s="10">
        <v>1.1437207359356401</v>
      </c>
      <c r="Y13" s="10">
        <v>2.2104441041080398</v>
      </c>
      <c r="Z13" s="10">
        <v>0.84503310377295004</v>
      </c>
      <c r="AB13" s="10">
        <v>3.4508656203799499</v>
      </c>
      <c r="AC13" s="10">
        <v>0.68244852168299497</v>
      </c>
      <c r="AE13" s="10">
        <v>2.9616439530368699</v>
      </c>
      <c r="AF13" s="10">
        <v>0.69486610076886102</v>
      </c>
      <c r="AH13" s="10">
        <v>0.45254449105521999</v>
      </c>
      <c r="AI13" s="10">
        <v>0.86911109528703701</v>
      </c>
      <c r="AK13" s="10">
        <v>0.62419694306676499</v>
      </c>
      <c r="AL13" s="10">
        <v>0.82415309297262396</v>
      </c>
    </row>
    <row r="14" spans="1:41" x14ac:dyDescent="0.25">
      <c r="A14" s="10">
        <v>0.11232320411135401</v>
      </c>
      <c r="B14" s="10">
        <v>1.3036131038971499</v>
      </c>
      <c r="D14" s="10">
        <v>0.94442776100307801</v>
      </c>
      <c r="E14" s="10">
        <v>2.4812821463728101</v>
      </c>
      <c r="G14" s="10">
        <v>0.54092596673122095</v>
      </c>
      <c r="H14" s="10">
        <v>1.7974030024851999</v>
      </c>
      <c r="J14" s="10">
        <v>0.46938893396617498</v>
      </c>
      <c r="K14" s="10">
        <v>1.60462820506055</v>
      </c>
      <c r="M14" s="10">
        <v>0.94445763490889301</v>
      </c>
      <c r="N14" s="10">
        <v>1.7003747732708701</v>
      </c>
      <c r="P14" s="10">
        <v>1.6525522418723999</v>
      </c>
      <c r="Q14" s="10">
        <v>1.68240895300663</v>
      </c>
      <c r="S14" s="10">
        <v>1.3041527670195801</v>
      </c>
      <c r="T14" s="10">
        <v>1.1665914956349399</v>
      </c>
      <c r="Y14" s="10">
        <v>3.0151386448602699</v>
      </c>
      <c r="Z14" s="10">
        <v>0.82179963608493001</v>
      </c>
      <c r="AB14" s="10">
        <v>4.3409355822440299</v>
      </c>
      <c r="AC14" s="10">
        <v>0.66132633308234101</v>
      </c>
      <c r="AE14" s="10">
        <v>3.77261368473726</v>
      </c>
      <c r="AF14" s="10">
        <v>0.65881482691840598</v>
      </c>
      <c r="AH14" s="10">
        <v>0.61859919214669401</v>
      </c>
      <c r="AI14" s="10">
        <v>0.82637624738623605</v>
      </c>
      <c r="AK14" s="10">
        <v>0.83941477304579004</v>
      </c>
      <c r="AL14" s="10">
        <v>0.77888498838543396</v>
      </c>
    </row>
    <row r="15" spans="1:41" x14ac:dyDescent="0.25">
      <c r="A15" s="10">
        <v>0.12857452530184699</v>
      </c>
      <c r="B15" s="10">
        <v>1.3386393558632099</v>
      </c>
      <c r="D15" s="10">
        <v>1.1104874566259599</v>
      </c>
      <c r="E15" s="10">
        <v>2.6875545189902201</v>
      </c>
      <c r="G15" s="10">
        <v>0.61913999068756298</v>
      </c>
      <c r="H15" s="10">
        <v>1.8690713088213899</v>
      </c>
      <c r="J15" s="10">
        <v>0.50882605655525104</v>
      </c>
      <c r="K15" s="10">
        <v>1.6446282050605501</v>
      </c>
      <c r="M15" s="10">
        <v>1.1711516610027399</v>
      </c>
      <c r="N15" s="10">
        <v>1.8177452584206599</v>
      </c>
      <c r="P15" s="10">
        <v>1.86579461810863</v>
      </c>
      <c r="Q15" s="10">
        <v>1.7348022127846601</v>
      </c>
      <c r="S15" s="10">
        <v>1.5955841298162901</v>
      </c>
      <c r="T15" s="10">
        <v>1.18276916482977</v>
      </c>
      <c r="Y15" s="10">
        <v>4.2253159490341998</v>
      </c>
      <c r="Z15" s="10">
        <v>0.80204169884461896</v>
      </c>
      <c r="AB15" s="10">
        <v>5.0357733826381104</v>
      </c>
      <c r="AC15" s="10">
        <v>0.64552516351443501</v>
      </c>
      <c r="AE15" s="10">
        <v>5.0034558618268203</v>
      </c>
      <c r="AF15" s="10">
        <v>0.63150721073396099</v>
      </c>
      <c r="AH15" s="10">
        <v>0.754734984439003</v>
      </c>
      <c r="AI15" s="10">
        <v>0.79183976586735705</v>
      </c>
      <c r="AK15" s="10">
        <v>1.19130617200306</v>
      </c>
      <c r="AL15" s="10">
        <v>0.73554705439824697</v>
      </c>
    </row>
    <row r="16" spans="1:41" x14ac:dyDescent="0.25">
      <c r="A16" s="10">
        <v>0.14325285508556501</v>
      </c>
      <c r="B16" s="10">
        <v>1.3746067139926901</v>
      </c>
      <c r="D16" s="10">
        <v>1.2539272547117599</v>
      </c>
      <c r="E16" s="10">
        <v>2.8724880233019698</v>
      </c>
      <c r="G16" s="10">
        <v>0.68052576868611303</v>
      </c>
      <c r="H16" s="10">
        <v>1.9690938465365599</v>
      </c>
      <c r="J16" s="10">
        <v>0.56661056947998201</v>
      </c>
      <c r="K16" s="10">
        <v>1.69247660696048</v>
      </c>
      <c r="M16" s="10">
        <v>1.47191662867699</v>
      </c>
      <c r="N16" s="10">
        <v>1.96933255931906</v>
      </c>
      <c r="P16" s="10">
        <v>2.1935221311403099</v>
      </c>
      <c r="Q16" s="10">
        <v>1.7888270934984101</v>
      </c>
      <c r="S16" s="10">
        <v>1.9521399484048101</v>
      </c>
      <c r="T16" s="10">
        <v>1.1960793525547599</v>
      </c>
      <c r="Y16" s="10">
        <v>5.53478442950163</v>
      </c>
      <c r="Z16" s="10">
        <v>0.78287628952819099</v>
      </c>
      <c r="AB16" s="10">
        <v>6.1659119566179896</v>
      </c>
      <c r="AC16" s="10">
        <v>0.62681821521822001</v>
      </c>
      <c r="AE16" s="10">
        <v>6.9090137722177998</v>
      </c>
      <c r="AF16" s="10">
        <v>0.59023122805754302</v>
      </c>
      <c r="AH16" s="10">
        <v>0.96092770353107104</v>
      </c>
      <c r="AI16" s="10">
        <v>0.76108294882045202</v>
      </c>
      <c r="AK16" s="10">
        <v>1.71363423003421</v>
      </c>
      <c r="AL16" s="10">
        <v>0.67666777212627705</v>
      </c>
    </row>
    <row r="17" spans="1:38" x14ac:dyDescent="0.25">
      <c r="A17" s="10">
        <v>0.16621004879512799</v>
      </c>
      <c r="B17" s="10">
        <v>1.4303778240845899</v>
      </c>
      <c r="D17" s="10">
        <v>1.43513614576843</v>
      </c>
      <c r="E17" s="10">
        <v>3.1112818745968398</v>
      </c>
      <c r="G17" s="10">
        <v>0.83333786256338205</v>
      </c>
      <c r="H17" s="10">
        <v>2.15718487790835</v>
      </c>
      <c r="J17" s="10">
        <v>0.64815493508018496</v>
      </c>
      <c r="K17" s="10">
        <v>1.7151801343303099</v>
      </c>
      <c r="M17" s="10">
        <v>1.75305531752154</v>
      </c>
      <c r="N17" s="10">
        <v>2.1052681904175601</v>
      </c>
      <c r="P17" s="10">
        <v>2.6138262812474999</v>
      </c>
      <c r="Q17" s="10">
        <v>1.87303528560312</v>
      </c>
      <c r="S17" s="10">
        <v>2.5544609620939198</v>
      </c>
      <c r="T17" s="10">
        <v>1.2209153871587499</v>
      </c>
      <c r="Y17" s="10">
        <v>8.0767909199707901</v>
      </c>
      <c r="Z17" s="10">
        <v>0.76416885255259603</v>
      </c>
      <c r="AB17" s="10">
        <v>6.96235243939417</v>
      </c>
      <c r="AC17" s="10">
        <v>0.61847629213967603</v>
      </c>
      <c r="AE17" s="10">
        <v>8.9200022413770004</v>
      </c>
      <c r="AF17" s="10">
        <v>0.559161523170845</v>
      </c>
      <c r="AH17" s="10">
        <v>1.2061923798210701</v>
      </c>
      <c r="AI17" s="10">
        <v>0.73098965213955103</v>
      </c>
      <c r="AK17" s="10">
        <v>2.3044808281507501</v>
      </c>
      <c r="AL17" s="10">
        <v>0.62894613465055504</v>
      </c>
    </row>
    <row r="18" spans="1:38" x14ac:dyDescent="0.25">
      <c r="A18" s="10">
        <v>0.185184926624583</v>
      </c>
      <c r="B18" s="10">
        <v>1.48841170263909</v>
      </c>
      <c r="D18" s="10">
        <v>1.6425320919948501</v>
      </c>
      <c r="E18" s="10">
        <v>3.3699269847842399</v>
      </c>
      <c r="G18" s="10">
        <v>0.95383255417548996</v>
      </c>
      <c r="H18" s="10">
        <v>2.2726256878928699</v>
      </c>
      <c r="J18" s="10">
        <v>0.76164364858942801</v>
      </c>
      <c r="K18" s="10">
        <v>1.8251344355500501</v>
      </c>
      <c r="M18" s="10">
        <v>2.1448002979894998</v>
      </c>
      <c r="N18" s="10">
        <v>2.2207420822983099</v>
      </c>
      <c r="P18" s="10">
        <v>3.11466555616125</v>
      </c>
      <c r="Q18" s="10">
        <v>1.9612075386521799</v>
      </c>
      <c r="S18" s="10">
        <v>3.2104753744643002</v>
      </c>
      <c r="T18" s="10">
        <v>1.24483490458664</v>
      </c>
      <c r="Y18" s="10">
        <v>10.0237922696554</v>
      </c>
      <c r="Z18" s="10">
        <v>0.75498344352707503</v>
      </c>
      <c r="AB18" s="10">
        <v>8.4105630115930108</v>
      </c>
      <c r="AC18" s="10">
        <v>0.60411073667383197</v>
      </c>
      <c r="AE18" s="10">
        <v>11.3625145552015</v>
      </c>
      <c r="AF18" s="10">
        <v>0.53000645520628298</v>
      </c>
      <c r="AH18" s="10">
        <v>1.5140577712476899</v>
      </c>
      <c r="AI18" s="10">
        <v>0.69816003294277895</v>
      </c>
      <c r="AK18" s="10">
        <v>2.9365422743449301</v>
      </c>
      <c r="AL18" s="10">
        <v>0.59683368926907099</v>
      </c>
    </row>
    <row r="19" spans="1:38" x14ac:dyDescent="0.25">
      <c r="A19" s="10">
        <v>0.19546986463346</v>
      </c>
      <c r="B19" s="10">
        <v>1.5082749280863801</v>
      </c>
      <c r="D19" s="10">
        <v>1.90544624131941</v>
      </c>
      <c r="E19" s="10">
        <v>3.7485387184404999</v>
      </c>
      <c r="G19" s="10">
        <v>1.10659389469887</v>
      </c>
      <c r="H19" s="10">
        <v>2.4256525425976498</v>
      </c>
      <c r="J19" s="10">
        <v>0.89500367279445203</v>
      </c>
      <c r="K19" s="10">
        <v>1.90812246183149</v>
      </c>
      <c r="M19" s="10">
        <v>2.6956092271594398</v>
      </c>
      <c r="N19" s="10">
        <v>2.4059365129742498</v>
      </c>
      <c r="P19" s="10">
        <v>3.5643190679244001</v>
      </c>
      <c r="Q19" s="10">
        <v>2.0222830909830298</v>
      </c>
      <c r="S19" s="10">
        <v>3.98107170553497</v>
      </c>
      <c r="T19" s="10">
        <v>1.26491106406735</v>
      </c>
      <c r="Y19" s="10">
        <v>13.130267664677</v>
      </c>
      <c r="Z19" s="10">
        <v>0.73694252777024105</v>
      </c>
      <c r="AB19" s="10">
        <v>9.8894008765863397</v>
      </c>
      <c r="AC19" s="10">
        <v>0.59020409652658501</v>
      </c>
      <c r="AE19" s="10">
        <v>14.280536564381199</v>
      </c>
      <c r="AF19" s="10">
        <v>0.501842537782487</v>
      </c>
      <c r="AH19" s="10">
        <v>2.1906448718029101</v>
      </c>
      <c r="AI19" s="10">
        <v>0.65950522950151103</v>
      </c>
      <c r="AK19" s="10">
        <v>3.8441057074054901</v>
      </c>
      <c r="AL19" s="10">
        <v>0.56444451503402804</v>
      </c>
    </row>
    <row r="20" spans="1:38" x14ac:dyDescent="0.25">
      <c r="A20" s="10">
        <v>0.22074796752075501</v>
      </c>
      <c r="B20" s="10">
        <v>1.56946928004676</v>
      </c>
      <c r="D20" s="10">
        <v>2.151569529329</v>
      </c>
      <c r="E20" s="10">
        <v>4.0064796816288304</v>
      </c>
      <c r="G20" s="10">
        <v>1.3189690478391001</v>
      </c>
      <c r="H20" s="10">
        <v>2.62294634984258</v>
      </c>
      <c r="J20" s="10">
        <v>0.99664420521607999</v>
      </c>
      <c r="K20" s="10">
        <v>1.9859459923093701</v>
      </c>
      <c r="M20" s="10">
        <v>3.34262449379918</v>
      </c>
      <c r="N20" s="10">
        <v>2.5720092754066002</v>
      </c>
      <c r="P20" s="10">
        <v>4.1342643551160299</v>
      </c>
      <c r="Q20" s="10">
        <v>2.1174811141092</v>
      </c>
      <c r="S20" s="10">
        <v>4.9366308960571601</v>
      </c>
      <c r="T20" s="10">
        <v>1.27914562835833</v>
      </c>
      <c r="Y20" s="10">
        <v>18.153626892791301</v>
      </c>
      <c r="Z20" s="10">
        <v>0.71933271370727403</v>
      </c>
      <c r="AB20" s="10">
        <v>11.946454871892399</v>
      </c>
      <c r="AC20" s="10">
        <v>0.57310993979050495</v>
      </c>
      <c r="AE20" s="10">
        <v>17.238376045326198</v>
      </c>
      <c r="AF20" s="10">
        <v>0.48445551629560002</v>
      </c>
      <c r="AH20" s="10">
        <v>2.9522265296698902</v>
      </c>
      <c r="AI20" s="10">
        <v>0.62391236774499204</v>
      </c>
      <c r="AK20" s="10">
        <v>5.1003777109910899</v>
      </c>
      <c r="AL20" s="10">
        <v>0.53381304755463599</v>
      </c>
    </row>
    <row r="21" spans="1:38" x14ac:dyDescent="0.25">
      <c r="A21" s="10">
        <v>0.25268656961736102</v>
      </c>
      <c r="B21" s="10">
        <v>1.63314643447379</v>
      </c>
      <c r="D21" s="10">
        <v>2.4959634533644</v>
      </c>
      <c r="E21" s="10">
        <v>4.3395438077626096</v>
      </c>
      <c r="G21" s="10">
        <v>1.5302089336814499</v>
      </c>
      <c r="H21" s="10">
        <v>2.7995619852787601</v>
      </c>
      <c r="J21" s="10">
        <v>1.12485071966273</v>
      </c>
      <c r="K21" s="10">
        <v>2.0946703567034</v>
      </c>
      <c r="M21" s="10">
        <v>4.25791591028828</v>
      </c>
      <c r="N21" s="10">
        <v>2.7495454169735001</v>
      </c>
      <c r="P21" s="10">
        <v>4.8604494143757799</v>
      </c>
      <c r="Q21" s="10">
        <v>2.1834233084183401</v>
      </c>
      <c r="S21" s="10">
        <v>6.2883998111470998</v>
      </c>
      <c r="T21" s="10">
        <v>1.3080971218091699</v>
      </c>
      <c r="Y21" s="10">
        <v>24.762309929984301</v>
      </c>
      <c r="Z21" s="10">
        <v>0.69970384120802698</v>
      </c>
      <c r="AB21" s="10">
        <v>14.2379031973962</v>
      </c>
      <c r="AC21" s="10">
        <v>0.558221532880817</v>
      </c>
      <c r="AE21" s="10">
        <v>21.376027883369499</v>
      </c>
      <c r="AF21" s="10">
        <v>0.46454157598234302</v>
      </c>
      <c r="AH21" s="10">
        <v>3.8671110594372098</v>
      </c>
      <c r="AI21" s="10">
        <v>0.59271568736454106</v>
      </c>
      <c r="AK21" s="10">
        <v>6.9519279617756</v>
      </c>
      <c r="AL21" s="10">
        <v>0.49785066789405702</v>
      </c>
    </row>
    <row r="22" spans="1:38" x14ac:dyDescent="0.25">
      <c r="A22" s="10">
        <v>0.28536391922827398</v>
      </c>
      <c r="B22" s="10">
        <v>1.72208613663799</v>
      </c>
      <c r="D22" s="10">
        <v>2.7065164961445101</v>
      </c>
      <c r="E22" s="10">
        <v>4.6381524640013101</v>
      </c>
      <c r="G22" s="10">
        <v>1.79941760346423</v>
      </c>
      <c r="H22" s="10">
        <v>2.9880700037529699</v>
      </c>
      <c r="J22" s="10">
        <v>1.2867348130251399</v>
      </c>
      <c r="K22" s="10">
        <v>2.2390186535818</v>
      </c>
      <c r="M22" s="10">
        <v>5.0711854072874001</v>
      </c>
      <c r="N22" s="10">
        <v>2.9393362116879902</v>
      </c>
      <c r="P22" s="10">
        <v>5.8703993017162102</v>
      </c>
      <c r="Q22" s="10">
        <v>2.2862069313126101</v>
      </c>
      <c r="S22" s="10">
        <v>8.6833265047659101</v>
      </c>
      <c r="T22" s="10">
        <v>1.33770388777508</v>
      </c>
      <c r="Y22" s="10">
        <v>33.3239772029984</v>
      </c>
      <c r="Z22" s="10">
        <v>0.68003078631799996</v>
      </c>
      <c r="AB22" s="10">
        <v>17.670110000405799</v>
      </c>
      <c r="AC22" s="10">
        <v>0.53592560282284796</v>
      </c>
      <c r="AE22" s="10">
        <v>27.229301224893401</v>
      </c>
      <c r="AF22" s="10">
        <v>0.44435128063263202</v>
      </c>
      <c r="AH22" s="10">
        <v>5.0655150598127596</v>
      </c>
      <c r="AI22" s="10">
        <v>0.56412559600882495</v>
      </c>
      <c r="AK22" s="10">
        <v>9.9999999999999893</v>
      </c>
      <c r="AL22" s="10">
        <v>0.45787927383433802</v>
      </c>
    </row>
    <row r="23" spans="1:38" x14ac:dyDescent="0.25">
      <c r="A23" s="10">
        <v>0.32665138733645899</v>
      </c>
      <c r="B23" s="10">
        <v>1.8401026461844201</v>
      </c>
      <c r="D23" s="10">
        <v>2.97471395609195</v>
      </c>
      <c r="E23" s="10">
        <v>4.8917671404231298</v>
      </c>
      <c r="G23" s="10">
        <v>2.1739192176242002</v>
      </c>
      <c r="H23" s="10">
        <v>3.35994363593489</v>
      </c>
      <c r="J23" s="10">
        <v>1.5120356950429801</v>
      </c>
      <c r="K23" s="10">
        <v>2.33030191859056</v>
      </c>
      <c r="M23" s="10">
        <v>5.8795361601103799</v>
      </c>
      <c r="N23" s="10">
        <v>3.05944243010258</v>
      </c>
      <c r="P23" s="10">
        <v>6.9015371048709104</v>
      </c>
      <c r="Q23" s="10">
        <v>2.3574035529452599</v>
      </c>
      <c r="S23" s="10">
        <v>10.623738503182301</v>
      </c>
      <c r="T23" s="10">
        <v>1.35275761964109</v>
      </c>
      <c r="Y23" s="10">
        <v>46.073017258784297</v>
      </c>
      <c r="Z23" s="10">
        <v>0.66094676761932802</v>
      </c>
      <c r="AB23" s="10">
        <v>20.223672039982699</v>
      </c>
      <c r="AC23" s="10">
        <v>0.52662374111944599</v>
      </c>
      <c r="AE23" s="10">
        <v>33.314073319582803</v>
      </c>
      <c r="AF23" s="10">
        <v>0.42249788102278701</v>
      </c>
      <c r="AH23" s="10">
        <v>6.7302460776777204</v>
      </c>
      <c r="AI23" s="10">
        <v>0.53419191494808604</v>
      </c>
      <c r="AK23" s="10">
        <v>12.0745608651473</v>
      </c>
      <c r="AL23" s="10">
        <v>0.43928180468684203</v>
      </c>
    </row>
    <row r="24" spans="1:38" x14ac:dyDescent="0.25">
      <c r="A24" s="10">
        <v>0.37391247336871303</v>
      </c>
      <c r="B24" s="10">
        <v>1.9147600490736201</v>
      </c>
      <c r="D24" s="10">
        <v>3.3139184701792099</v>
      </c>
      <c r="E24" s="10">
        <v>5.3694165423985201</v>
      </c>
      <c r="G24" s="10">
        <v>2.52208390588113</v>
      </c>
      <c r="H24" s="10">
        <v>3.6808908904020501</v>
      </c>
      <c r="J24" s="10">
        <v>1.7767856437404299</v>
      </c>
      <c r="K24" s="10">
        <v>2.5242628296324998</v>
      </c>
      <c r="M24" s="10">
        <v>7.4894953374781403</v>
      </c>
      <c r="N24" s="10">
        <v>3.2706242518713302</v>
      </c>
      <c r="P24" s="10">
        <v>9.0380790334814698</v>
      </c>
      <c r="Q24" s="10">
        <v>2.5452469477687498</v>
      </c>
      <c r="S24" s="10">
        <v>15.4803587808288</v>
      </c>
      <c r="T24" s="10">
        <v>1.3833752072693899</v>
      </c>
      <c r="Y24" s="10">
        <v>66.331941431923198</v>
      </c>
      <c r="Z24" s="10">
        <v>0.64700210148382697</v>
      </c>
      <c r="AB24" s="10">
        <v>24.430315686930001</v>
      </c>
      <c r="AC24" s="10">
        <v>0.51270001505450502</v>
      </c>
      <c r="AE24" s="10">
        <v>42.4362721828617</v>
      </c>
      <c r="AF24" s="10">
        <v>0.40422935971178597</v>
      </c>
      <c r="AH24" s="10">
        <v>8.5689414707985101</v>
      </c>
      <c r="AI24" s="10">
        <v>0.50584657745513695</v>
      </c>
      <c r="AK24" s="10">
        <v>14.977474763451999</v>
      </c>
      <c r="AL24" s="10">
        <v>0.41353105525418599</v>
      </c>
    </row>
    <row r="25" spans="1:38" x14ac:dyDescent="0.25">
      <c r="A25" s="10">
        <v>0.40549100121887</v>
      </c>
      <c r="B25" s="10">
        <v>1.9924464828800501</v>
      </c>
      <c r="D25" s="10">
        <v>3.8443653696732398</v>
      </c>
      <c r="E25" s="10">
        <v>5.8937053171523299</v>
      </c>
      <c r="G25" s="10">
        <v>2.80983198521169</v>
      </c>
      <c r="H25" s="10">
        <v>3.9802812462206498</v>
      </c>
      <c r="J25" s="10">
        <v>2.1448002979894998</v>
      </c>
      <c r="K25" s="10">
        <v>2.734367929851</v>
      </c>
      <c r="M25" s="10">
        <v>9.5403002690358303</v>
      </c>
      <c r="N25" s="10">
        <v>3.5433715470697802</v>
      </c>
      <c r="P25" s="10">
        <v>10.7698792614528</v>
      </c>
      <c r="Q25" s="10">
        <v>2.62451054434875</v>
      </c>
      <c r="S25" s="10">
        <v>21.090534742019798</v>
      </c>
      <c r="T25" s="10">
        <v>1.4146857768913299</v>
      </c>
      <c r="Y25" s="10">
        <v>92.955397106024506</v>
      </c>
      <c r="Z25" s="10">
        <v>0.63815293126887096</v>
      </c>
      <c r="AB25" s="10">
        <v>29.9130171578689</v>
      </c>
      <c r="AC25" s="10">
        <v>0.49250163265421698</v>
      </c>
      <c r="AE25" s="10">
        <v>53.334385942411799</v>
      </c>
      <c r="AF25" s="10">
        <v>0.388163035552265</v>
      </c>
      <c r="AH25" s="10">
        <v>11.224426037896301</v>
      </c>
      <c r="AI25" s="10">
        <v>0.47900530270650499</v>
      </c>
      <c r="AK25" s="10">
        <v>19.6063910687446</v>
      </c>
      <c r="AL25" s="10">
        <v>0.38730648425261799</v>
      </c>
    </row>
    <row r="26" spans="1:38" x14ac:dyDescent="0.25">
      <c r="A26" s="10">
        <v>0.47047354873532798</v>
      </c>
      <c r="B26" s="10">
        <v>2.1009533460888901</v>
      </c>
      <c r="D26" s="10">
        <v>4.3999264541280896</v>
      </c>
      <c r="E26" s="10">
        <v>6.29925749106369</v>
      </c>
      <c r="G26" s="10">
        <v>3.3946248715067999</v>
      </c>
      <c r="H26" s="10">
        <v>4.4176860476070603</v>
      </c>
      <c r="J26" s="10">
        <v>2.4534715248591201</v>
      </c>
      <c r="K26" s="10">
        <v>2.88406606683143</v>
      </c>
      <c r="M26" s="10">
        <v>11.6722151636757</v>
      </c>
      <c r="N26" s="10">
        <v>3.7377253613638701</v>
      </c>
      <c r="P26" s="10">
        <v>13.5447687868916</v>
      </c>
      <c r="Q26" s="10">
        <v>2.7480581409289901</v>
      </c>
      <c r="S26" s="10">
        <v>29.9166119872297</v>
      </c>
      <c r="T26" s="10">
        <v>1.4396058176078199</v>
      </c>
      <c r="Y26" s="10">
        <v>128.51814142933901</v>
      </c>
      <c r="Z26" s="10">
        <v>0.62939810910106997</v>
      </c>
      <c r="AB26" s="10">
        <v>36.626157719511902</v>
      </c>
      <c r="AC26" s="10">
        <v>0.479480081812174</v>
      </c>
      <c r="AE26" s="10">
        <v>68.858285398389697</v>
      </c>
      <c r="AF26" s="10">
        <v>0.370808499007168</v>
      </c>
      <c r="AH26" s="10">
        <v>15.562615055293801</v>
      </c>
      <c r="AI26" s="10">
        <v>0.45358828199504903</v>
      </c>
      <c r="AK26" s="10">
        <v>30.167002809714202</v>
      </c>
      <c r="AL26" s="10">
        <v>0.34641016151377602</v>
      </c>
    </row>
    <row r="27" spans="1:38" x14ac:dyDescent="0.25">
      <c r="A27" s="10">
        <v>0.55329627511434698</v>
      </c>
      <c r="B27" s="10">
        <v>2.2449340537608999</v>
      </c>
      <c r="D27" s="10">
        <v>5.1042067092388201</v>
      </c>
      <c r="E27" s="10">
        <v>6.9143392165677602</v>
      </c>
      <c r="G27" s="10">
        <v>4.0461140767098103</v>
      </c>
      <c r="H27" s="10">
        <v>4.7770046574405303</v>
      </c>
      <c r="J27" s="10">
        <v>2.7320984843322198</v>
      </c>
      <c r="K27" s="10">
        <v>3.0419597110699699</v>
      </c>
      <c r="M27" s="10">
        <v>15.273606792963101</v>
      </c>
      <c r="N27" s="10">
        <v>3.9427394760608001</v>
      </c>
      <c r="P27" s="10">
        <v>15.9239124214771</v>
      </c>
      <c r="Q27" s="10">
        <v>2.8336376451306999</v>
      </c>
      <c r="S27" s="10">
        <v>37.599535674122698</v>
      </c>
      <c r="T27" s="10">
        <v>1.45405013088248</v>
      </c>
      <c r="Y27" s="10">
        <v>172.95380064592101</v>
      </c>
      <c r="Z27" s="10">
        <v>0.62073650090462196</v>
      </c>
      <c r="AB27" s="10">
        <v>46.073017258784297</v>
      </c>
      <c r="AC27" s="10">
        <v>0.46680281568938797</v>
      </c>
      <c r="AE27" s="10">
        <v>83.120477454221898</v>
      </c>
      <c r="AF27" s="10">
        <v>0.35792070247957603</v>
      </c>
      <c r="AH27" s="10">
        <v>21.577494166877699</v>
      </c>
      <c r="AI27" s="10">
        <v>0.41796901177280199</v>
      </c>
      <c r="AK27" s="10">
        <v>42.240689064834797</v>
      </c>
      <c r="AL27" s="10">
        <v>0.31859761055199898</v>
      </c>
    </row>
    <row r="28" spans="1:38" x14ac:dyDescent="0.25">
      <c r="A28" s="10">
        <v>0.616461705242631</v>
      </c>
      <c r="B28" s="10">
        <v>2.3987819220818198</v>
      </c>
      <c r="D28" s="10">
        <v>6.0832440924903999</v>
      </c>
      <c r="E28" s="10">
        <v>7.7942149856493499</v>
      </c>
      <c r="G28" s="10">
        <v>4.9546691859778296</v>
      </c>
      <c r="H28" s="10">
        <v>5.3715161885228699</v>
      </c>
      <c r="J28" s="10">
        <v>3.1675970293909002</v>
      </c>
      <c r="K28" s="10">
        <v>3.25153755206708</v>
      </c>
      <c r="M28" s="10">
        <v>17.7082311574503</v>
      </c>
      <c r="N28" s="10">
        <v>4.1038464385037301</v>
      </c>
      <c r="P28" s="10">
        <v>20.574229145195801</v>
      </c>
      <c r="Q28" s="10">
        <v>2.9670298013897098</v>
      </c>
      <c r="S28" s="10">
        <v>44.781113729999397</v>
      </c>
      <c r="T28" s="10">
        <v>1.46298537943485</v>
      </c>
      <c r="Y28" s="10">
        <v>226.55394635210101</v>
      </c>
      <c r="Z28" s="10">
        <v>0.61516698623546595</v>
      </c>
      <c r="AB28" s="10">
        <v>54.910278134974597</v>
      </c>
      <c r="AC28" s="10">
        <v>0.456590435310537</v>
      </c>
      <c r="AE28" s="10">
        <v>110.239127276329</v>
      </c>
      <c r="AF28" s="10">
        <v>0.33907979730504301</v>
      </c>
      <c r="AH28" s="10">
        <v>27.472440452915698</v>
      </c>
      <c r="AI28" s="10">
        <v>0.39579070399844002</v>
      </c>
      <c r="AK28" s="10">
        <v>59.948425031893997</v>
      </c>
      <c r="AL28" s="10">
        <v>0.28495636973956801</v>
      </c>
    </row>
    <row r="29" spans="1:38" x14ac:dyDescent="0.25">
      <c r="A29" s="10">
        <v>0.71525366839987103</v>
      </c>
      <c r="B29" s="10">
        <v>2.5294174518808101</v>
      </c>
      <c r="D29" s="10">
        <v>7.1528671003165902</v>
      </c>
      <c r="E29" s="10">
        <v>8.4421587191462599</v>
      </c>
      <c r="G29" s="10">
        <v>5.90555878709708</v>
      </c>
      <c r="H29" s="10">
        <v>5.8084158932005003</v>
      </c>
      <c r="J29" s="10">
        <v>3.7222275541693599</v>
      </c>
      <c r="K29" s="10">
        <v>3.5694246361344502</v>
      </c>
      <c r="M29" s="10">
        <v>19.986186100478299</v>
      </c>
      <c r="N29" s="10">
        <v>4.2715365022408802</v>
      </c>
      <c r="P29" s="10">
        <v>23.864109965470899</v>
      </c>
      <c r="Q29" s="10">
        <v>3.0594284794136</v>
      </c>
      <c r="S29" s="10">
        <v>53.334385942411799</v>
      </c>
      <c r="T29" s="10">
        <v>1.47944895543786</v>
      </c>
      <c r="Y29" s="10">
        <v>330.60526206346998</v>
      </c>
      <c r="Z29" s="10">
        <v>0.60729982288030704</v>
      </c>
      <c r="AB29" s="10">
        <v>69.073098291432004</v>
      </c>
      <c r="AC29" s="10">
        <v>0.44244496726070998</v>
      </c>
      <c r="AE29" s="10">
        <v>148.18454797466299</v>
      </c>
      <c r="AF29" s="10">
        <v>0.321230675241508</v>
      </c>
      <c r="AH29" s="10">
        <v>40.8947451959828</v>
      </c>
      <c r="AI29" s="10">
        <v>0.36471014791536199</v>
      </c>
      <c r="AK29" s="10">
        <v>82.818746881839502</v>
      </c>
      <c r="AL29" s="10">
        <v>0.26207781582927903</v>
      </c>
    </row>
    <row r="30" spans="1:38" x14ac:dyDescent="0.25">
      <c r="A30" s="10">
        <v>0.85261147566897</v>
      </c>
      <c r="B30" s="10">
        <v>2.7753806863453598</v>
      </c>
      <c r="D30" s="10">
        <v>8.0767909199707901</v>
      </c>
      <c r="E30" s="10">
        <v>9.023072700558</v>
      </c>
      <c r="G30" s="10">
        <v>7.13464607290922</v>
      </c>
      <c r="H30" s="10">
        <v>6.3632451807481702</v>
      </c>
      <c r="J30" s="10">
        <v>4.4331796242610002</v>
      </c>
      <c r="K30" s="10">
        <v>3.8153425245669101</v>
      </c>
      <c r="M30" s="10">
        <v>24.452381779134999</v>
      </c>
      <c r="N30" s="10">
        <v>4.4460786638568202</v>
      </c>
      <c r="P30" s="10">
        <v>27.680052575727501</v>
      </c>
      <c r="Q30" s="10">
        <v>3.15470461950295</v>
      </c>
      <c r="S30" s="10">
        <v>69.790389228226402</v>
      </c>
      <c r="T30" s="10">
        <v>1.49609780283088</v>
      </c>
      <c r="Y30" s="10">
        <v>469.59529798509197</v>
      </c>
      <c r="Z30" s="10">
        <v>0.6</v>
      </c>
      <c r="AB30" s="10">
        <v>86.888886190851494</v>
      </c>
      <c r="AC30" s="10">
        <v>0.425014359932046</v>
      </c>
      <c r="AE30" s="10">
        <v>178.87709965081501</v>
      </c>
      <c r="AF30" s="10">
        <v>0.30846318066345202</v>
      </c>
      <c r="AH30" s="10">
        <v>59.169382799337697</v>
      </c>
      <c r="AI30" s="10">
        <v>0.339033457650187</v>
      </c>
      <c r="AK30" s="10">
        <v>115.96514767614001</v>
      </c>
      <c r="AL30" s="10">
        <v>0.237697237180511</v>
      </c>
    </row>
    <row r="31" spans="1:38" x14ac:dyDescent="0.25">
      <c r="A31" s="10">
        <v>0.97597034039705</v>
      </c>
      <c r="B31" s="10">
        <v>3.0051570756818702</v>
      </c>
      <c r="D31" s="10">
        <v>9.3696135225522905</v>
      </c>
      <c r="E31" s="10">
        <v>10.0368160883197</v>
      </c>
      <c r="G31" s="10">
        <v>8.7367311895087791</v>
      </c>
      <c r="H31" s="10">
        <v>7.0625208907500703</v>
      </c>
      <c r="J31" s="10">
        <v>4.9366308960571601</v>
      </c>
      <c r="K31" s="10">
        <v>4.0242206574745802</v>
      </c>
      <c r="M31" s="10">
        <v>30.321579790997902</v>
      </c>
      <c r="N31" s="10">
        <v>4.6277529115887397</v>
      </c>
      <c r="P31" s="10">
        <v>31.676126190065901</v>
      </c>
      <c r="Q31" s="10">
        <v>3.2034496327500199</v>
      </c>
      <c r="S31" s="10">
        <v>87.713349045598406</v>
      </c>
      <c r="T31" s="10">
        <v>1.50609780283088</v>
      </c>
      <c r="Y31" s="10">
        <v>615.12766732844102</v>
      </c>
      <c r="Z31" s="10">
        <v>0.6</v>
      </c>
      <c r="AB31" s="10">
        <v>100.796874783563</v>
      </c>
      <c r="AC31" s="10">
        <v>0.413777146226526</v>
      </c>
      <c r="AE31" s="10">
        <v>215.92681029710801</v>
      </c>
      <c r="AF31" s="10">
        <v>0.29622571382665602</v>
      </c>
      <c r="AH31" s="10">
        <v>83.211976631765395</v>
      </c>
      <c r="AI31" s="10">
        <v>0.31392939787788599</v>
      </c>
      <c r="AK31" s="10">
        <v>158.06306873781301</v>
      </c>
      <c r="AL31" s="10">
        <v>0.21861302067350299</v>
      </c>
    </row>
    <row r="32" spans="1:38" x14ac:dyDescent="0.25">
      <c r="A32" s="10">
        <v>1.07279423720881</v>
      </c>
      <c r="B32" s="10">
        <v>3.21110388703192</v>
      </c>
      <c r="D32" s="10">
        <v>11.3185486675186</v>
      </c>
      <c r="E32" s="10">
        <v>10.8711903133907</v>
      </c>
      <c r="G32" s="10">
        <v>10.991468471134899</v>
      </c>
      <c r="H32" s="10">
        <v>8.0456494376240499</v>
      </c>
      <c r="J32" s="10">
        <v>5.8010104743661604</v>
      </c>
      <c r="K32" s="10">
        <v>4.3591736087340696</v>
      </c>
      <c r="M32" s="10">
        <v>37.599535674122698</v>
      </c>
      <c r="N32" s="10">
        <v>4.9471893163888696</v>
      </c>
      <c r="P32" s="10">
        <v>42.045438604698496</v>
      </c>
      <c r="Q32" s="10">
        <v>3.4060788166158802</v>
      </c>
      <c r="S32" s="10">
        <v>98.996636193332705</v>
      </c>
      <c r="T32" s="10">
        <v>1.51609780283088</v>
      </c>
      <c r="Y32" s="10">
        <v>827.81050802393997</v>
      </c>
      <c r="Z32" s="10">
        <v>0.6</v>
      </c>
      <c r="AB32" s="10">
        <v>126.795067806432</v>
      </c>
      <c r="AC32" s="10">
        <v>0.40283704006316801</v>
      </c>
      <c r="AE32" s="10">
        <v>294.17999665127002</v>
      </c>
      <c r="AF32" s="10">
        <v>0.276842985402104</v>
      </c>
      <c r="AH32" s="10">
        <v>113.745416282305</v>
      </c>
      <c r="AI32" s="10">
        <v>0.29324719635040603</v>
      </c>
      <c r="AK32" s="10">
        <v>221.32437157587199</v>
      </c>
      <c r="AL32" s="10">
        <v>0.19827588558517001</v>
      </c>
    </row>
    <row r="33" spans="1:38" x14ac:dyDescent="0.25">
      <c r="A33" s="10">
        <v>1.2788143816473301</v>
      </c>
      <c r="B33" s="10">
        <v>3.4769542118456398</v>
      </c>
      <c r="D33" s="10">
        <v>14.0470122058826</v>
      </c>
      <c r="E33" s="10">
        <v>12.2545903228821</v>
      </c>
      <c r="G33" s="10">
        <v>12.9251904230482</v>
      </c>
      <c r="H33" s="10">
        <v>8.7000534717677702</v>
      </c>
      <c r="J33" s="10">
        <v>6.9090137722177998</v>
      </c>
      <c r="K33" s="10">
        <v>4.6595017788033299</v>
      </c>
      <c r="M33" s="10">
        <v>45.387295649438599</v>
      </c>
      <c r="N33" s="10">
        <v>5.1493397877128997</v>
      </c>
      <c r="P33" s="10">
        <v>49.430735407737103</v>
      </c>
      <c r="Q33" s="10">
        <v>3.5121502756059702</v>
      </c>
      <c r="S33" s="10">
        <v>116.33045604912699</v>
      </c>
      <c r="T33" s="10">
        <v>1.52493400654903</v>
      </c>
      <c r="Y33" s="10">
        <v>1000</v>
      </c>
      <c r="Z33" s="10">
        <v>0.6</v>
      </c>
      <c r="AB33" s="10">
        <v>161.66638590611399</v>
      </c>
      <c r="AC33" s="10">
        <v>0.392186186034581</v>
      </c>
      <c r="AE33" s="10">
        <v>374.73359348429699</v>
      </c>
      <c r="AF33" s="10">
        <v>0.262270002056741</v>
      </c>
      <c r="AH33" s="10">
        <v>151.12671322629501</v>
      </c>
      <c r="AI33" s="10">
        <v>0.27021915188069501</v>
      </c>
      <c r="AK33" s="10">
        <v>379.26901907322502</v>
      </c>
      <c r="AL33" s="10">
        <v>0.16771568521760699</v>
      </c>
    </row>
    <row r="34" spans="1:38" x14ac:dyDescent="0.25">
      <c r="A34" s="10">
        <v>1.44419026489998</v>
      </c>
      <c r="B34" s="10">
        <v>3.7648145362389398</v>
      </c>
      <c r="D34" s="10">
        <v>15.8614411600308</v>
      </c>
      <c r="E34" s="10">
        <v>12.9246726419826</v>
      </c>
      <c r="G34" s="10">
        <v>15.615230060005</v>
      </c>
      <c r="H34" s="10">
        <v>9.4076843638828205</v>
      </c>
      <c r="J34" s="10">
        <v>7.6936316007949701</v>
      </c>
      <c r="K34" s="10">
        <v>4.8495414046386598</v>
      </c>
      <c r="M34" s="10">
        <v>56.281409269766002</v>
      </c>
      <c r="N34" s="10">
        <v>5.3597504670951004</v>
      </c>
      <c r="P34" s="10">
        <v>58.113262318939697</v>
      </c>
      <c r="Q34" s="10">
        <v>3.6215249918070902</v>
      </c>
      <c r="S34" s="10">
        <v>140.42526608565399</v>
      </c>
      <c r="T34" s="10">
        <v>1.53103400654903</v>
      </c>
      <c r="AB34" s="10">
        <v>200.637887666739</v>
      </c>
      <c r="AC34" s="10">
        <v>0.38181693642727799</v>
      </c>
      <c r="AE34" s="10">
        <v>470.96941065784699</v>
      </c>
      <c r="AF34" s="10">
        <v>0.25084593272796601</v>
      </c>
      <c r="AH34" s="10">
        <v>200.79300069462101</v>
      </c>
      <c r="AI34" s="10">
        <v>0.248999448082946</v>
      </c>
      <c r="AK34" s="10">
        <v>560.45146882445601</v>
      </c>
      <c r="AL34" s="10">
        <v>0.147928385656935</v>
      </c>
    </row>
    <row r="35" spans="1:38" x14ac:dyDescent="0.25">
      <c r="A35" s="10">
        <v>1.58746524303951</v>
      </c>
      <c r="B35" s="10">
        <v>3.9698429871410901</v>
      </c>
      <c r="D35" s="10">
        <v>18.153626892791301</v>
      </c>
      <c r="E35" s="10">
        <v>13.814033206345099</v>
      </c>
      <c r="G35" s="10">
        <v>18.362407403096601</v>
      </c>
      <c r="H35" s="10">
        <v>10.1728713941412</v>
      </c>
      <c r="J35" s="10">
        <v>8.9200022413770004</v>
      </c>
      <c r="K35" s="10">
        <v>5.1150387086256304</v>
      </c>
      <c r="M35" s="10">
        <v>64.381208428473002</v>
      </c>
      <c r="N35" s="10">
        <v>5.5047793758469599</v>
      </c>
      <c r="P35" s="10">
        <v>77.136881836138102</v>
      </c>
      <c r="Q35" s="10">
        <v>3.79748309406772</v>
      </c>
      <c r="S35" s="10">
        <v>186.24001274962001</v>
      </c>
      <c r="T35" s="10">
        <v>1.54095967499008</v>
      </c>
      <c r="AB35" s="10">
        <v>255.81753877395701</v>
      </c>
      <c r="AC35" s="10">
        <v>0.36989366528919998</v>
      </c>
      <c r="AE35" s="10">
        <v>616.28418333887396</v>
      </c>
      <c r="AF35" s="10">
        <v>0.23583617392086501</v>
      </c>
      <c r="AH35" s="10">
        <v>263.018039381476</v>
      </c>
      <c r="AI35" s="10">
        <v>0.23202290118315499</v>
      </c>
      <c r="AK35" s="10">
        <v>763.90778450442303</v>
      </c>
      <c r="AL35" s="10">
        <v>0.13230838638494799</v>
      </c>
    </row>
    <row r="36" spans="1:38" x14ac:dyDescent="0.25">
      <c r="A36" s="10">
        <v>1.79275576093497</v>
      </c>
      <c r="B36" s="10">
        <v>4.2419008144600001</v>
      </c>
      <c r="D36" s="10">
        <v>19.952528406384801</v>
      </c>
      <c r="E36" s="10">
        <v>14.7645916234775</v>
      </c>
      <c r="G36" s="10">
        <v>22.7914135254419</v>
      </c>
      <c r="H36" s="10">
        <v>11.144600535391699</v>
      </c>
      <c r="J36" s="10">
        <v>10.3418572807605</v>
      </c>
      <c r="K36" s="10">
        <v>5.4674427083463701</v>
      </c>
      <c r="M36" s="10">
        <v>78.768099125095702</v>
      </c>
      <c r="N36" s="10">
        <v>5.6087588805215196</v>
      </c>
      <c r="P36" s="10">
        <v>88.272867122091895</v>
      </c>
      <c r="Q36" s="10">
        <v>3.84200657347056</v>
      </c>
      <c r="S36" s="10">
        <v>218.84971500898001</v>
      </c>
      <c r="T36" s="10">
        <v>1.54895967499008</v>
      </c>
      <c r="AB36" s="10">
        <v>313.22863464769301</v>
      </c>
      <c r="AC36" s="10">
        <v>0.35707745375424299</v>
      </c>
      <c r="AE36" s="10">
        <v>806.43495318125099</v>
      </c>
      <c r="AF36" s="10">
        <v>0.222994374339578</v>
      </c>
      <c r="AH36" s="10">
        <v>339.666045877241</v>
      </c>
      <c r="AI36" s="10">
        <v>0.218275666787872</v>
      </c>
      <c r="AK36" s="10">
        <v>947.56320265399199</v>
      </c>
      <c r="AL36" s="10">
        <v>0.121685621386019</v>
      </c>
    </row>
    <row r="37" spans="1:38" x14ac:dyDescent="0.25">
      <c r="A37" s="10">
        <v>1.9974204114081999</v>
      </c>
      <c r="B37" s="10">
        <v>4.5930917908423101</v>
      </c>
      <c r="D37" s="10">
        <v>22.529762961206899</v>
      </c>
      <c r="E37" s="10">
        <v>15.7805589831601</v>
      </c>
      <c r="G37" s="10">
        <v>26.441579235689499</v>
      </c>
      <c r="H37" s="10">
        <v>11.740998983172</v>
      </c>
      <c r="J37" s="10">
        <v>12.4839024086466</v>
      </c>
      <c r="K37" s="10">
        <v>5.7741258164167197</v>
      </c>
      <c r="M37" s="10">
        <v>95.082849791559497</v>
      </c>
      <c r="N37" s="10">
        <v>5.6999326061699298</v>
      </c>
      <c r="P37" s="10">
        <v>109.529594232907</v>
      </c>
      <c r="Q37" s="10">
        <v>3.9705134952192802</v>
      </c>
      <c r="S37" s="10">
        <v>260.65039905107</v>
      </c>
      <c r="T37" s="10">
        <v>1.5571769402784601</v>
      </c>
      <c r="AB37" s="10">
        <v>399.37311601981799</v>
      </c>
      <c r="AC37" s="10">
        <v>0.34300999374708402</v>
      </c>
      <c r="AE37" s="10">
        <v>947.63771260188798</v>
      </c>
      <c r="AF37" s="10">
        <v>0.21704583419802401</v>
      </c>
      <c r="AH37" s="10">
        <v>491.45263520121199</v>
      </c>
      <c r="AI37" s="10">
        <v>0.19695699742231401</v>
      </c>
      <c r="AK37" s="10">
        <v>1000</v>
      </c>
      <c r="AL37" s="10">
        <v>0.12</v>
      </c>
    </row>
    <row r="38" spans="1:38" x14ac:dyDescent="0.25">
      <c r="A38" s="10">
        <v>2.3490486902830101</v>
      </c>
      <c r="B38" s="10">
        <v>5.03972890573535</v>
      </c>
      <c r="D38" s="10">
        <v>27.216087187619198</v>
      </c>
      <c r="E38" s="10">
        <v>17.0924183972311</v>
      </c>
      <c r="G38" s="10">
        <v>34.176244670740402</v>
      </c>
      <c r="H38" s="10">
        <v>13.202198999179799</v>
      </c>
      <c r="J38" s="10">
        <v>14.473845804464201</v>
      </c>
      <c r="K38" s="10">
        <v>6.2140735225926402</v>
      </c>
      <c r="M38" s="10">
        <v>111.73138506546201</v>
      </c>
      <c r="N38" s="10">
        <v>5.8667163458573599</v>
      </c>
      <c r="P38" s="10">
        <v>145.38456508490299</v>
      </c>
      <c r="Q38" s="10">
        <v>4.0818640038296898</v>
      </c>
      <c r="S38" s="10">
        <v>332.02278126105898</v>
      </c>
      <c r="T38" s="10">
        <v>1.5611769402784601</v>
      </c>
      <c r="AB38" s="10">
        <v>516.12901255962799</v>
      </c>
      <c r="AC38" s="10">
        <v>0.32949673683780201</v>
      </c>
      <c r="AE38" s="10">
        <v>1000</v>
      </c>
      <c r="AF38" s="10">
        <v>0.21413133701234499</v>
      </c>
      <c r="AH38" s="10">
        <v>634.67043449682899</v>
      </c>
      <c r="AI38" s="10">
        <v>0.18358584597719399</v>
      </c>
    </row>
    <row r="39" spans="1:38" x14ac:dyDescent="0.25">
      <c r="A39" s="10">
        <v>2.8001616191932102</v>
      </c>
      <c r="B39" s="10">
        <v>5.7541547097065697</v>
      </c>
      <c r="D39" s="10">
        <v>33.776831301522797</v>
      </c>
      <c r="E39" s="10">
        <v>19.012753820215998</v>
      </c>
      <c r="G39" s="10">
        <v>42.419542706920303</v>
      </c>
      <c r="H39" s="10">
        <v>14.0911667683967</v>
      </c>
      <c r="J39" s="10">
        <v>17.9479395670628</v>
      </c>
      <c r="K39" s="10">
        <v>6.5887514747401497</v>
      </c>
      <c r="M39" s="10">
        <v>134.87361788825399</v>
      </c>
      <c r="N39" s="10">
        <v>5.9638396560266296</v>
      </c>
      <c r="P39" s="10">
        <v>170.92141757983001</v>
      </c>
      <c r="Q39" s="10">
        <v>4.1574235461543099</v>
      </c>
      <c r="S39" s="10">
        <v>406.21796304455199</v>
      </c>
      <c r="T39" s="10">
        <v>1.56458795853225</v>
      </c>
      <c r="AB39" s="10">
        <v>640.54771969494004</v>
      </c>
      <c r="AC39" s="10">
        <v>0.32078497178659299</v>
      </c>
      <c r="AH39" s="10">
        <v>819.62437796162396</v>
      </c>
      <c r="AI39" s="10">
        <v>0.174698094802333</v>
      </c>
    </row>
    <row r="40" spans="1:38" x14ac:dyDescent="0.25">
      <c r="A40" s="10">
        <v>3.3379065857753898</v>
      </c>
      <c r="B40" s="10">
        <v>6.3979526458792204</v>
      </c>
      <c r="D40" s="10">
        <v>41.3570969449828</v>
      </c>
      <c r="E40" s="10">
        <v>20.869226181111301</v>
      </c>
      <c r="G40" s="10">
        <v>51.248058769609301</v>
      </c>
      <c r="H40" s="10">
        <v>15.0399930274572</v>
      </c>
      <c r="J40" s="10">
        <v>20.530936469450499</v>
      </c>
      <c r="K40" s="10">
        <v>6.7667051473844797</v>
      </c>
      <c r="M40" s="10">
        <v>165.01303350006501</v>
      </c>
      <c r="N40" s="10">
        <v>6.1039885364063204</v>
      </c>
      <c r="P40" s="10">
        <v>206.43707708206699</v>
      </c>
      <c r="Q40" s="10">
        <v>4.2216621010345703</v>
      </c>
      <c r="S40" s="10">
        <v>503.72068006488303</v>
      </c>
      <c r="T40" s="10">
        <v>1.5695879585322601</v>
      </c>
      <c r="AB40" s="10">
        <v>794.95895642755499</v>
      </c>
      <c r="AC40" s="10">
        <v>0.30814729412293501</v>
      </c>
      <c r="AH40" s="10">
        <v>931.42559265750299</v>
      </c>
      <c r="AI40" s="10">
        <v>0.172333038377429</v>
      </c>
    </row>
    <row r="41" spans="1:38" x14ac:dyDescent="0.25">
      <c r="A41" s="10">
        <v>3.9255156545009999</v>
      </c>
      <c r="B41" s="10">
        <v>7.2087164661619596</v>
      </c>
      <c r="D41" s="10">
        <v>48.628957445182103</v>
      </c>
      <c r="E41" s="10">
        <v>22.3052599816079</v>
      </c>
      <c r="G41" s="10">
        <v>67.439711715260302</v>
      </c>
      <c r="H41" s="10">
        <v>16.284851709266</v>
      </c>
      <c r="J41" s="10">
        <v>23.803583122714599</v>
      </c>
      <c r="K41" s="10">
        <v>7.1371612015975501</v>
      </c>
      <c r="M41" s="10">
        <v>204.620388599373</v>
      </c>
      <c r="N41" s="10">
        <v>6.2252145488681201</v>
      </c>
      <c r="P41" s="10">
        <v>249.33251430753501</v>
      </c>
      <c r="Q41" s="10">
        <v>4.2868932398763402</v>
      </c>
      <c r="S41" s="10">
        <v>641.65158305046305</v>
      </c>
      <c r="T41" s="10">
        <v>1.56458795853225</v>
      </c>
      <c r="AB41" s="10">
        <v>934.73739982786003</v>
      </c>
      <c r="AC41" s="10">
        <v>0.30404635869696001</v>
      </c>
      <c r="AH41" s="10">
        <v>985.89266016286695</v>
      </c>
      <c r="AI41" s="10">
        <v>0.172333038377429</v>
      </c>
    </row>
    <row r="42" spans="1:38" x14ac:dyDescent="0.25">
      <c r="A42" s="10">
        <v>4.4934732394391999</v>
      </c>
      <c r="B42" s="10">
        <v>7.9096996973153004</v>
      </c>
      <c r="D42" s="10">
        <v>60.351514921000501</v>
      </c>
      <c r="E42" s="10">
        <v>24.159526698103701</v>
      </c>
      <c r="G42" s="10">
        <v>77.892492503752493</v>
      </c>
      <c r="H42" s="10">
        <v>16.911762038252402</v>
      </c>
      <c r="J42" s="10">
        <v>29.517052837074399</v>
      </c>
      <c r="K42" s="10">
        <v>7.5278985722140899</v>
      </c>
      <c r="M42" s="10">
        <v>253.73452352502801</v>
      </c>
      <c r="N42" s="10">
        <v>6.3755011113638398</v>
      </c>
      <c r="P42" s="10">
        <v>309.373536982806</v>
      </c>
      <c r="Q42" s="10">
        <v>4.3503948541872601</v>
      </c>
      <c r="S42" s="10">
        <v>764.20817439489201</v>
      </c>
      <c r="T42" s="10">
        <v>1.56458795853225</v>
      </c>
      <c r="AB42" s="10">
        <v>1000</v>
      </c>
      <c r="AC42" s="10">
        <v>0.30404635869696001</v>
      </c>
    </row>
    <row r="43" spans="1:38" x14ac:dyDescent="0.25">
      <c r="A43" s="10">
        <v>5.2135812995887001</v>
      </c>
      <c r="B43" s="10">
        <v>8.9120357099169194</v>
      </c>
      <c r="D43" s="10">
        <v>73.895725477714194</v>
      </c>
      <c r="E43" s="10">
        <v>26.167941138442998</v>
      </c>
      <c r="G43" s="10">
        <v>99.327029760325402</v>
      </c>
      <c r="H43" s="10">
        <v>17.986089020440801</v>
      </c>
      <c r="J43" s="10">
        <v>35.630737981118799</v>
      </c>
      <c r="K43" s="10">
        <v>7.8349268975380104</v>
      </c>
      <c r="M43" s="10">
        <v>306.28899078734599</v>
      </c>
      <c r="N43" s="10">
        <v>6.4555011113638399</v>
      </c>
      <c r="P43" s="10">
        <v>389.08449440218402</v>
      </c>
      <c r="Q43" s="10">
        <v>4.4203948541872604</v>
      </c>
      <c r="S43" s="10">
        <v>910.173292233648</v>
      </c>
      <c r="T43" s="10">
        <v>1.56458795853225</v>
      </c>
    </row>
    <row r="44" spans="1:38" x14ac:dyDescent="0.25">
      <c r="A44" s="10">
        <v>5.9679008092811801</v>
      </c>
      <c r="B44" s="10">
        <v>9.6498715668635597</v>
      </c>
      <c r="D44" s="10">
        <v>88.069657261124803</v>
      </c>
      <c r="E44" s="10">
        <v>27.5988069790899</v>
      </c>
      <c r="G44" s="10">
        <v>130.12762441640001</v>
      </c>
      <c r="H44" s="10">
        <v>19.016477914340399</v>
      </c>
      <c r="J44" s="10">
        <v>42.4362721828617</v>
      </c>
      <c r="K44" s="10">
        <v>8.3747194061569505</v>
      </c>
      <c r="M44" s="10">
        <v>390.15832302996699</v>
      </c>
      <c r="N44" s="10">
        <v>6.54801510704403</v>
      </c>
      <c r="P44" s="10">
        <v>457.42732939164398</v>
      </c>
      <c r="Q44" s="10">
        <v>4.4886967181375503</v>
      </c>
    </row>
    <row r="45" spans="1:38" x14ac:dyDescent="0.25">
      <c r="A45" s="10">
        <v>6.92429539448014</v>
      </c>
      <c r="B45" s="10">
        <v>10.7295379492426</v>
      </c>
      <c r="D45" s="10">
        <v>103.555034843483</v>
      </c>
      <c r="E45" s="10">
        <v>29.107912718057399</v>
      </c>
      <c r="G45" s="10">
        <v>175.14661954106501</v>
      </c>
      <c r="H45" s="10">
        <v>19.994726767110802</v>
      </c>
      <c r="J45" s="10">
        <v>49.200645758460297</v>
      </c>
      <c r="K45" s="10">
        <v>8.6009097673209602</v>
      </c>
      <c r="M45" s="10">
        <v>483.80631505474503</v>
      </c>
      <c r="N45" s="10">
        <v>6.6360148035161703</v>
      </c>
      <c r="P45" s="10">
        <v>523.46453349226397</v>
      </c>
      <c r="Q45" s="10">
        <v>4.55805395039157</v>
      </c>
    </row>
    <row r="46" spans="1:38" x14ac:dyDescent="0.25">
      <c r="A46" s="10">
        <v>8.2540418526801798</v>
      </c>
      <c r="B46" s="10">
        <v>12.0892105912712</v>
      </c>
      <c r="D46" s="10">
        <v>139.35960054362101</v>
      </c>
      <c r="E46" s="10">
        <v>31.9501120099331</v>
      </c>
      <c r="G46" s="10">
        <v>205.96005124033201</v>
      </c>
      <c r="H46" s="10">
        <v>20.563209468931301</v>
      </c>
      <c r="J46" s="10">
        <v>56.281409269766002</v>
      </c>
      <c r="K46" s="10">
        <v>8.8332092381759608</v>
      </c>
      <c r="M46" s="10">
        <v>568.51840056315496</v>
      </c>
      <c r="N46" s="10">
        <v>6.7251971402926802</v>
      </c>
      <c r="P46" s="10">
        <v>632.23491696000701</v>
      </c>
      <c r="Q46" s="10">
        <v>4.5980539503915701</v>
      </c>
    </row>
    <row r="47" spans="1:38" x14ac:dyDescent="0.25">
      <c r="A47" s="10">
        <v>9.5768052809248498</v>
      </c>
      <c r="B47" s="10">
        <v>13.441800019478199</v>
      </c>
      <c r="D47" s="10">
        <v>187.54373742456201</v>
      </c>
      <c r="E47" s="10">
        <v>35.069833668080399</v>
      </c>
      <c r="G47" s="10">
        <v>259.11331829001</v>
      </c>
      <c r="H47" s="10">
        <v>21.3831315417425</v>
      </c>
      <c r="J47" s="10">
        <v>65.252708068618006</v>
      </c>
      <c r="K47" s="10">
        <v>9.0717828178891402</v>
      </c>
      <c r="M47" s="10">
        <v>733.99555630926795</v>
      </c>
      <c r="N47" s="10">
        <v>6.9071735230339497</v>
      </c>
      <c r="P47" s="10">
        <v>743.287213378964</v>
      </c>
      <c r="Q47" s="10">
        <v>4.6284828580043804</v>
      </c>
    </row>
    <row r="48" spans="1:38" x14ac:dyDescent="0.25">
      <c r="A48" s="10">
        <v>11.7286715993986</v>
      </c>
      <c r="B48" s="10">
        <v>14.945722584575</v>
      </c>
      <c r="D48" s="10">
        <v>232.75326599953701</v>
      </c>
      <c r="E48" s="10">
        <v>36.498437462835703</v>
      </c>
      <c r="G48" s="10">
        <v>317.29722629371599</v>
      </c>
      <c r="H48" s="10">
        <v>22.235746575567202</v>
      </c>
      <c r="J48" s="10">
        <v>78.768099125095702</v>
      </c>
      <c r="K48" s="10">
        <v>9.4417790737578802</v>
      </c>
      <c r="M48" s="10">
        <v>898.01723434533801</v>
      </c>
      <c r="N48" s="10">
        <v>6.9071735230339497</v>
      </c>
      <c r="P48" s="10">
        <v>839.19966176688899</v>
      </c>
      <c r="Q48" s="10">
        <v>4.6284828580043804</v>
      </c>
    </row>
    <row r="49" spans="1:17" x14ac:dyDescent="0.25">
      <c r="A49" s="10">
        <v>13.9810537740708</v>
      </c>
      <c r="B49" s="10">
        <v>16.839680200432099</v>
      </c>
      <c r="D49" s="10">
        <v>284.98823054992198</v>
      </c>
      <c r="E49" s="10">
        <v>37.985236823093402</v>
      </c>
      <c r="G49" s="10">
        <v>368.114059312042</v>
      </c>
      <c r="H49" s="10">
        <v>22.822960978241198</v>
      </c>
      <c r="J49" s="10">
        <v>98.996636193332705</v>
      </c>
      <c r="K49" s="10">
        <v>9.8967893391948305</v>
      </c>
      <c r="M49" s="10">
        <v>986.64423797969505</v>
      </c>
      <c r="N49" s="10">
        <v>6.9071735230339497</v>
      </c>
      <c r="P49" s="10">
        <v>960.35201927682397</v>
      </c>
      <c r="Q49" s="10">
        <v>4.6284828580043804</v>
      </c>
    </row>
    <row r="50" spans="1:17" x14ac:dyDescent="0.25">
      <c r="A50" s="10">
        <v>17.5915928262182</v>
      </c>
      <c r="B50" s="10">
        <v>19.226852663641498</v>
      </c>
      <c r="D50" s="10">
        <v>335.09800154072798</v>
      </c>
      <c r="E50" s="10">
        <v>39.532602401834097</v>
      </c>
      <c r="G50" s="10">
        <v>475.79443140094099</v>
      </c>
      <c r="H50" s="10">
        <v>23.522358145142</v>
      </c>
      <c r="J50" s="10">
        <v>111.73138506546201</v>
      </c>
      <c r="K50" s="10">
        <v>10.092276733621301</v>
      </c>
    </row>
    <row r="51" spans="1:17" x14ac:dyDescent="0.25">
      <c r="A51" s="10">
        <v>20.136807125730499</v>
      </c>
      <c r="B51" s="10">
        <v>21.096492199103</v>
      </c>
      <c r="D51" s="10">
        <v>444.91334804165302</v>
      </c>
      <c r="E51" s="10">
        <v>41.599041643858797</v>
      </c>
      <c r="G51" s="10">
        <v>598.58537226885301</v>
      </c>
      <c r="H51" s="10">
        <v>24.444321802969402</v>
      </c>
      <c r="J51" s="10">
        <v>131.294996269188</v>
      </c>
      <c r="K51" s="10">
        <v>10.364856101195899</v>
      </c>
    </row>
    <row r="52" spans="1:17" x14ac:dyDescent="0.25">
      <c r="A52" s="10">
        <v>24.661459736321898</v>
      </c>
      <c r="B52" s="10">
        <v>23.1479374650037</v>
      </c>
      <c r="D52" s="10">
        <v>544.76171263128401</v>
      </c>
      <c r="E52" s="10">
        <v>42.819001614872903</v>
      </c>
      <c r="G52" s="10">
        <v>763.30471877735204</v>
      </c>
      <c r="H52" s="10">
        <v>25.0030471518414</v>
      </c>
      <c r="J52" s="10">
        <v>158.48931924611099</v>
      </c>
      <c r="K52" s="10">
        <v>10.644797485646199</v>
      </c>
    </row>
    <row r="53" spans="1:17" x14ac:dyDescent="0.25">
      <c r="A53" s="10">
        <v>29.797402250274899</v>
      </c>
      <c r="B53" s="10">
        <v>25.7378216649339</v>
      </c>
      <c r="D53" s="10">
        <v>685.27023719485396</v>
      </c>
      <c r="E53" s="10">
        <v>44.563275305292997</v>
      </c>
      <c r="G53" s="10">
        <v>909.79654140493903</v>
      </c>
      <c r="H53" s="10">
        <v>25.0030471518414</v>
      </c>
      <c r="J53" s="10">
        <v>191.316234653723</v>
      </c>
      <c r="K53" s="10">
        <v>10.932299725545301</v>
      </c>
    </row>
    <row r="54" spans="1:17" x14ac:dyDescent="0.25">
      <c r="A54" s="10">
        <v>39.043549743406999</v>
      </c>
      <c r="B54" s="10">
        <v>29.3863837759856</v>
      </c>
      <c r="D54" s="10">
        <v>827.81050802393997</v>
      </c>
      <c r="E54" s="10">
        <v>45.560349236268898</v>
      </c>
      <c r="G54" s="10">
        <v>1000</v>
      </c>
      <c r="H54" s="10">
        <v>25.331043220725</v>
      </c>
      <c r="J54" s="10">
        <v>227.85797507387801</v>
      </c>
      <c r="K54" s="10">
        <v>11.1789497678639</v>
      </c>
    </row>
    <row r="55" spans="1:17" x14ac:dyDescent="0.25">
      <c r="A55" s="10">
        <v>49.126356330165898</v>
      </c>
      <c r="B55" s="10">
        <v>33.5521615881757</v>
      </c>
      <c r="D55" s="10">
        <v>909.84092457085001</v>
      </c>
      <c r="E55" s="10">
        <v>46.378603681538202</v>
      </c>
      <c r="J55" s="10">
        <v>275.052792417278</v>
      </c>
      <c r="K55" s="10">
        <v>11.378177900506699</v>
      </c>
    </row>
    <row r="56" spans="1:17" x14ac:dyDescent="0.25">
      <c r="A56" s="10">
        <v>65.246014848065002</v>
      </c>
      <c r="B56" s="10">
        <v>37.803971536393199</v>
      </c>
      <c r="D56" s="10">
        <v>973.36527321834603</v>
      </c>
      <c r="E56" s="10">
        <v>46.678603681538199</v>
      </c>
      <c r="J56" s="10">
        <v>350.368898204186</v>
      </c>
      <c r="K56" s="10">
        <v>11.6854877987717</v>
      </c>
    </row>
    <row r="57" spans="1:17" x14ac:dyDescent="0.25">
      <c r="A57" s="10">
        <v>84.344416486278206</v>
      </c>
      <c r="B57" s="10">
        <v>42.033631683209201</v>
      </c>
      <c r="D57" s="10">
        <v>1013.58943729213</v>
      </c>
      <c r="E57" s="10">
        <v>47</v>
      </c>
      <c r="J57" s="10">
        <v>411.71675403116501</v>
      </c>
      <c r="K57" s="10">
        <v>11.8422413934613</v>
      </c>
    </row>
    <row r="58" spans="1:17" x14ac:dyDescent="0.25">
      <c r="A58" s="10">
        <v>100.541976339225</v>
      </c>
      <c r="B58" s="10">
        <v>45.513635765671403</v>
      </c>
      <c r="J58" s="10">
        <v>490.35538488058501</v>
      </c>
      <c r="K58" s="10">
        <v>12.162085047662901</v>
      </c>
    </row>
    <row r="59" spans="1:17" x14ac:dyDescent="0.25">
      <c r="A59" s="10">
        <v>131.74019740142899</v>
      </c>
      <c r="B59" s="10">
        <v>49.939429956678403</v>
      </c>
      <c r="J59" s="10">
        <v>608.05323844932002</v>
      </c>
      <c r="K59" s="10">
        <v>12.490567266113899</v>
      </c>
    </row>
    <row r="60" spans="1:17" x14ac:dyDescent="0.25">
      <c r="A60" s="10">
        <v>154.931899361776</v>
      </c>
      <c r="B60" s="10">
        <v>54.073962547981999</v>
      </c>
      <c r="J60" s="10">
        <v>733.99555630926795</v>
      </c>
      <c r="K60" s="10">
        <v>12.6581205041466</v>
      </c>
    </row>
    <row r="61" spans="1:17" x14ac:dyDescent="0.25">
      <c r="A61" s="10">
        <v>194.94230788380801</v>
      </c>
      <c r="B61" s="10">
        <v>58.0187824504331</v>
      </c>
      <c r="J61" s="10">
        <v>828.41542189543998</v>
      </c>
      <c r="K61" s="10">
        <v>12.7581205041466</v>
      </c>
    </row>
    <row r="62" spans="1:17" x14ac:dyDescent="0.25">
      <c r="A62" s="10">
        <v>273.28746886507503</v>
      </c>
      <c r="B62" s="10">
        <v>63.398272804201902</v>
      </c>
      <c r="J62" s="10">
        <v>910.173292233648</v>
      </c>
      <c r="K62" s="10">
        <v>12.827921365283901</v>
      </c>
    </row>
    <row r="63" spans="1:17" x14ac:dyDescent="0.25">
      <c r="A63" s="10">
        <v>339.247325028278</v>
      </c>
      <c r="B63" s="10">
        <v>66.850886349383998</v>
      </c>
      <c r="J63" s="10">
        <v>960.46546072404306</v>
      </c>
      <c r="K63" s="10">
        <v>12.827921365283901</v>
      </c>
    </row>
    <row r="64" spans="1:17" x14ac:dyDescent="0.25">
      <c r="A64" s="10">
        <v>426.856294648492</v>
      </c>
      <c r="B64" s="10">
        <v>71.432253157458803</v>
      </c>
    </row>
    <row r="65" spans="1:2" x14ac:dyDescent="0.25">
      <c r="A65" s="10">
        <v>537.089854034523</v>
      </c>
      <c r="B65" s="10">
        <v>75.830431970645193</v>
      </c>
    </row>
    <row r="66" spans="1:2" x14ac:dyDescent="0.25">
      <c r="A66" s="10">
        <v>666.72027458016203</v>
      </c>
      <c r="B66" s="10">
        <v>79.424380494834395</v>
      </c>
    </row>
    <row r="67" spans="1:2" x14ac:dyDescent="0.25">
      <c r="A67" s="10">
        <v>805.57000366117802</v>
      </c>
      <c r="B67" s="10">
        <v>82.646819192003704</v>
      </c>
    </row>
    <row r="68" spans="1:2" x14ac:dyDescent="0.25">
      <c r="A68" s="10">
        <v>897.53551665723899</v>
      </c>
      <c r="B68" s="10">
        <v>83</v>
      </c>
    </row>
    <row r="69" spans="1:2" x14ac:dyDescent="0.25">
      <c r="A69" s="10">
        <v>947.38351086412695</v>
      </c>
      <c r="B69" s="10">
        <v>84.5</v>
      </c>
    </row>
    <row r="70" spans="1:2" x14ac:dyDescent="0.25">
      <c r="A70" s="10">
        <v>973.33627840748204</v>
      </c>
      <c r="B70" s="10">
        <v>85</v>
      </c>
    </row>
  </sheetData>
  <sheetProtection selectLockedCells="1" selectUnlockedCells="1"/>
  <mergeCells count="13">
    <mergeCell ref="AK1:AL1"/>
    <mergeCell ref="S1:T1"/>
    <mergeCell ref="V1:W1"/>
    <mergeCell ref="Y1:Z1"/>
    <mergeCell ref="AB1:AC1"/>
    <mergeCell ref="AE1:AF1"/>
    <mergeCell ref="AH1:AI1"/>
    <mergeCell ref="P1:Q1"/>
    <mergeCell ref="A1:B1"/>
    <mergeCell ref="D1:E1"/>
    <mergeCell ref="G1:H1"/>
    <mergeCell ref="J1:K1"/>
    <mergeCell ref="M1:N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Metadata/LabelInfo.xml><?xml version="1.0" encoding="utf-8"?>
<clbl:labelList xmlns:clbl="http://schemas.microsoft.com/office/2020/mipLabelMetadata">
  <clbl:label id="{c135c4ba-2280-41f8-be7d-6f21d368baa3}" enabled="1" method="Standard" siteId="{24139d14-c62c-4c47-8bdd-ce71ea1d50c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ENTRADA</vt:lpstr>
      <vt:lpstr>SAÍDA</vt:lpstr>
      <vt:lpstr>BETAS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Drumond João</dc:creator>
  <cp:lastModifiedBy>João Vítor Drumond</cp:lastModifiedBy>
  <dcterms:created xsi:type="dcterms:W3CDTF">2015-06-05T18:19:34Z</dcterms:created>
  <dcterms:modified xsi:type="dcterms:W3CDTF">2023-03-26T22:35:59Z</dcterms:modified>
</cp:coreProperties>
</file>